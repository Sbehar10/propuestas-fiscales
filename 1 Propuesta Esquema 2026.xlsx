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Nueva carpeta\2.- INTELLISHS 2024\FORMATOS\2026\"/>
    </mc:Choice>
  </mc:AlternateContent>
  <xr:revisionPtr revIDLastSave="0" documentId="13_ncr:1_{11A960A5-CA02-49C5-A902-789E41E6788A}" xr6:coauthVersionLast="47" xr6:coauthVersionMax="47" xr10:uidLastSave="{00000000-0000-0000-0000-000000000000}"/>
  <bookViews>
    <workbookView xWindow="-110" yWindow="-110" windowWidth="19420" windowHeight="10420" tabRatio="591" firstSheet="1" activeTab="1" xr2:uid="{00000000-000D-0000-FFFF-FFFF00000000}"/>
  </bookViews>
  <sheets>
    <sheet name="TABLAS" sheetId="7" state="hidden" r:id="rId1"/>
    <sheet name="NOMINA" sheetId="6" r:id="rId2"/>
    <sheet name="IMSS" sheetId="5" r:id="rId3"/>
    <sheet name="NOM REAL" sheetId="11" r:id="rId4"/>
    <sheet name="IMSS REAL" sheetId="13" r:id="rId5"/>
  </sheets>
  <externalReferences>
    <externalReference r:id="rId6"/>
    <externalReference r:id="rId7"/>
  </externalReferences>
  <definedNames>
    <definedName name="_xlnm._FilterDatabase" localSheetId="2" hidden="1">IMSS!$A$8:$HH$9</definedName>
    <definedName name="_xlnm._FilterDatabase" localSheetId="1" hidden="1">NOMINA!$A$5:$R$22</definedName>
    <definedName name="A" localSheetId="0">[1]ISR!#REF!</definedName>
    <definedName name="A">[1]ISR!#REF!</definedName>
    <definedName name="_xlnm.Print_Area" localSheetId="1">NOMINA!$A$1:$N$127</definedName>
    <definedName name="AS" localSheetId="0">[1]ISR!#REF!</definedName>
    <definedName name="AS">[1]ISR!#REF!</definedName>
    <definedName name="B" localSheetId="0">[2]ISR!#REF!</definedName>
    <definedName name="B">[2]ISR!#REF!</definedName>
    <definedName name="CREDITOS" localSheetId="2">[1]ISR!#REF!</definedName>
    <definedName name="CREDITOS" localSheetId="1">[1]ISR!#REF!</definedName>
    <definedName name="CREDITOS" localSheetId="0">[1]ISR!#REF!</definedName>
    <definedName name="CREDITOS">[1]ISR!#REF!</definedName>
    <definedName name="CREDITOS02" localSheetId="2">[1]CREDITOS!#REF!</definedName>
    <definedName name="CREDITOS02" localSheetId="1">[1]CREDITOS!#REF!</definedName>
    <definedName name="CREDITOS02" localSheetId="0">[1]CREDITOS!#REF!</definedName>
    <definedName name="CREDITOS02">[1]CREDITOS!#REF!</definedName>
    <definedName name="CREDITOSIMPAC" localSheetId="2">[1]ISR!#REF!</definedName>
    <definedName name="CREDITOSIMPAC" localSheetId="1">[1]ISR!#REF!</definedName>
    <definedName name="CREDITOSIMPAC" localSheetId="0">[1]ISR!#REF!</definedName>
    <definedName name="CREDITOSIMPAC">[1]ISR!#REF!</definedName>
    <definedName name="D" localSheetId="0">[1]ISR!#REF!</definedName>
    <definedName name="D">[1]ISR!#REF!</definedName>
    <definedName name="DEUDAS" localSheetId="2">[1]ISR!#REF!</definedName>
    <definedName name="DEUDAS" localSheetId="1">[1]ISR!#REF!</definedName>
    <definedName name="DEUDAS" localSheetId="0">[1]ISR!#REF!</definedName>
    <definedName name="DEUDAS">[1]ISR!#REF!</definedName>
    <definedName name="DISEÑO" localSheetId="2">[1]ISR!#REF!</definedName>
    <definedName name="DISEÑO" localSheetId="1">[1]ISR!#REF!</definedName>
    <definedName name="DISEÑO" localSheetId="0">[1]ISR!#REF!</definedName>
    <definedName name="DISEÑO">[1]ISR!#REF!</definedName>
    <definedName name="E" localSheetId="0">[1]ISR!#REF!</definedName>
    <definedName name="E">[1]ISR!#REF!</definedName>
    <definedName name="HOJA" localSheetId="2">[1]ISR!#REF!</definedName>
    <definedName name="HOJA" localSheetId="1">[1]ISR!#REF!</definedName>
    <definedName name="HOJA">[1]ISR!#REF!</definedName>
    <definedName name="HOJA1" localSheetId="2">[1]CREDITOS!#REF!</definedName>
    <definedName name="HOJA1" localSheetId="1">[1]CREDITOS!#REF!</definedName>
    <definedName name="HOJA1">[1]CREDITOS!#REF!</definedName>
    <definedName name="INTERESES" localSheetId="2">[2]ISR!#REF!</definedName>
    <definedName name="INTERESES" localSheetId="1">[2]ISR!#REF!</definedName>
    <definedName name="INTERESES" localSheetId="0">[2]ISR!#REF!</definedName>
    <definedName name="INTERESES">[2]ISR!#REF!</definedName>
    <definedName name="OTROS_DATOS" localSheetId="2">#REF!</definedName>
    <definedName name="OTROS_DATOS" localSheetId="1">#REF!</definedName>
    <definedName name="OTROS_DATOS" localSheetId="0">#REF!</definedName>
    <definedName name="OTROS_DATOS">#REF!</definedName>
    <definedName name="RESUMEN_IMPAC" localSheetId="2">#REF!</definedName>
    <definedName name="RESUMEN_IMPAC" localSheetId="1">#REF!</definedName>
    <definedName name="RESUMEN_IMPAC" localSheetId="0">#REF!</definedName>
    <definedName name="RESUMEN_IMPAC">#REF!</definedName>
    <definedName name="_xlnm.Print_Titles" localSheetId="2">IMSS!$A$1:$GC$9</definedName>
  </definedNames>
  <calcPr calcId="191029"/>
</workbook>
</file>

<file path=xl/calcChain.xml><?xml version="1.0" encoding="utf-8"?>
<calcChain xmlns="http://schemas.openxmlformats.org/spreadsheetml/2006/main">
  <c r="N106" i="13" l="1"/>
  <c r="M3" i="6"/>
  <c r="D110" i="6"/>
  <c r="D104" i="11"/>
  <c r="F104" i="11" s="1"/>
  <c r="G104" i="11" s="1"/>
  <c r="I104" i="11" s="1"/>
  <c r="C104" i="11"/>
  <c r="B104" i="11"/>
  <c r="D103" i="11"/>
  <c r="F103" i="11" s="1"/>
  <c r="G103" i="11" s="1"/>
  <c r="C103" i="11"/>
  <c r="B103" i="11"/>
  <c r="D102" i="11"/>
  <c r="F102" i="11" s="1"/>
  <c r="G102" i="11" s="1"/>
  <c r="C102" i="11"/>
  <c r="B102" i="11"/>
  <c r="D101" i="11"/>
  <c r="F101" i="11" s="1"/>
  <c r="G101" i="11" s="1"/>
  <c r="I101" i="11" s="1"/>
  <c r="C101" i="11"/>
  <c r="B101" i="11"/>
  <c r="D100" i="11"/>
  <c r="F100" i="11" s="1"/>
  <c r="G100" i="11" s="1"/>
  <c r="I100" i="11" s="1"/>
  <c r="C100" i="11"/>
  <c r="B100" i="11"/>
  <c r="D99" i="11"/>
  <c r="F99" i="11" s="1"/>
  <c r="G99" i="11" s="1"/>
  <c r="C99" i="11"/>
  <c r="B99" i="11"/>
  <c r="D98" i="11"/>
  <c r="F98" i="11" s="1"/>
  <c r="G98" i="11" s="1"/>
  <c r="C98" i="11"/>
  <c r="B98" i="11"/>
  <c r="D97" i="11"/>
  <c r="F97" i="11" s="1"/>
  <c r="G97" i="11" s="1"/>
  <c r="C97" i="11"/>
  <c r="B97" i="11"/>
  <c r="D96" i="11"/>
  <c r="F96" i="11" s="1"/>
  <c r="G96" i="11" s="1"/>
  <c r="C96" i="11"/>
  <c r="B96" i="11"/>
  <c r="D95" i="11"/>
  <c r="F95" i="11" s="1"/>
  <c r="G95" i="11" s="1"/>
  <c r="C95" i="11"/>
  <c r="B95" i="11"/>
  <c r="D94" i="11"/>
  <c r="F94" i="11" s="1"/>
  <c r="G94" i="11" s="1"/>
  <c r="C94" i="11"/>
  <c r="B94" i="11"/>
  <c r="D93" i="11"/>
  <c r="F93" i="11" s="1"/>
  <c r="G93" i="11" s="1"/>
  <c r="C93" i="11"/>
  <c r="B93" i="11"/>
  <c r="D92" i="11"/>
  <c r="F92" i="11" s="1"/>
  <c r="G92" i="11" s="1"/>
  <c r="C92" i="11"/>
  <c r="B92" i="11"/>
  <c r="D91" i="11"/>
  <c r="F91" i="11" s="1"/>
  <c r="G91" i="11" s="1"/>
  <c r="I91" i="11" s="1"/>
  <c r="C91" i="11"/>
  <c r="B91" i="11"/>
  <c r="D90" i="11"/>
  <c r="F90" i="11" s="1"/>
  <c r="G90" i="11" s="1"/>
  <c r="C90" i="11"/>
  <c r="B90" i="11"/>
  <c r="D89" i="11"/>
  <c r="F89" i="11" s="1"/>
  <c r="G89" i="11" s="1"/>
  <c r="C89" i="11"/>
  <c r="B89" i="11"/>
  <c r="D88" i="11"/>
  <c r="F88" i="11" s="1"/>
  <c r="G88" i="11" s="1"/>
  <c r="I88" i="11" s="1"/>
  <c r="C88" i="11"/>
  <c r="B88" i="11"/>
  <c r="D87" i="11"/>
  <c r="F87" i="11" s="1"/>
  <c r="G87" i="11" s="1"/>
  <c r="C87" i="11"/>
  <c r="B87" i="11"/>
  <c r="D86" i="11"/>
  <c r="F86" i="11" s="1"/>
  <c r="G86" i="11" s="1"/>
  <c r="C86" i="11"/>
  <c r="B86" i="11"/>
  <c r="D85" i="11"/>
  <c r="F85" i="11" s="1"/>
  <c r="G85" i="11" s="1"/>
  <c r="I85" i="11" s="1"/>
  <c r="C85" i="11"/>
  <c r="B85" i="11"/>
  <c r="D84" i="11"/>
  <c r="F84" i="11" s="1"/>
  <c r="G84" i="11" s="1"/>
  <c r="I84" i="11" s="1"/>
  <c r="C84" i="11"/>
  <c r="B84" i="11"/>
  <c r="D83" i="11"/>
  <c r="F83" i="11" s="1"/>
  <c r="G83" i="11" s="1"/>
  <c r="C83" i="11"/>
  <c r="B83" i="11"/>
  <c r="D82" i="11"/>
  <c r="F82" i="11" s="1"/>
  <c r="G82" i="11" s="1"/>
  <c r="C82" i="11"/>
  <c r="B82" i="11"/>
  <c r="F81" i="11"/>
  <c r="G81" i="11" s="1"/>
  <c r="D81" i="11"/>
  <c r="C81" i="11"/>
  <c r="B81" i="11"/>
  <c r="G80" i="11"/>
  <c r="D80" i="11"/>
  <c r="F80" i="11" s="1"/>
  <c r="C80" i="11"/>
  <c r="B80" i="11"/>
  <c r="D79" i="11"/>
  <c r="F79" i="11" s="1"/>
  <c r="G79" i="11" s="1"/>
  <c r="C79" i="11"/>
  <c r="B79" i="11"/>
  <c r="D78" i="11"/>
  <c r="F78" i="11" s="1"/>
  <c r="G78" i="11" s="1"/>
  <c r="C78" i="11"/>
  <c r="B78" i="11"/>
  <c r="D77" i="11"/>
  <c r="F77" i="11" s="1"/>
  <c r="G77" i="11" s="1"/>
  <c r="C77" i="11"/>
  <c r="B77" i="11"/>
  <c r="D76" i="11"/>
  <c r="F76" i="11" s="1"/>
  <c r="G76" i="11" s="1"/>
  <c r="I76" i="11" s="1"/>
  <c r="C76" i="11"/>
  <c r="B76" i="11"/>
  <c r="D75" i="11"/>
  <c r="F75" i="11" s="1"/>
  <c r="G75" i="11" s="1"/>
  <c r="C75" i="11"/>
  <c r="B75" i="11"/>
  <c r="D74" i="11"/>
  <c r="F74" i="11" s="1"/>
  <c r="G74" i="11" s="1"/>
  <c r="I74" i="11" s="1"/>
  <c r="C74" i="11"/>
  <c r="B74" i="11"/>
  <c r="D73" i="11"/>
  <c r="F73" i="11" s="1"/>
  <c r="G73" i="11" s="1"/>
  <c r="C73" i="11"/>
  <c r="B73" i="11"/>
  <c r="D72" i="11"/>
  <c r="F72" i="11" s="1"/>
  <c r="G72" i="11" s="1"/>
  <c r="C72" i="11"/>
  <c r="B72" i="11"/>
  <c r="D71" i="11"/>
  <c r="F71" i="11" s="1"/>
  <c r="G71" i="11" s="1"/>
  <c r="C71" i="11"/>
  <c r="B71" i="11"/>
  <c r="D70" i="11"/>
  <c r="F70" i="11" s="1"/>
  <c r="G70" i="11" s="1"/>
  <c r="H70" i="11" s="1"/>
  <c r="C70" i="11"/>
  <c r="B70" i="11"/>
  <c r="D69" i="11"/>
  <c r="F69" i="11" s="1"/>
  <c r="G69" i="11" s="1"/>
  <c r="I69" i="11" s="1"/>
  <c r="C69" i="11"/>
  <c r="B69" i="11"/>
  <c r="D68" i="11"/>
  <c r="F68" i="11" s="1"/>
  <c r="G68" i="11" s="1"/>
  <c r="C68" i="11"/>
  <c r="B68" i="11"/>
  <c r="D67" i="11"/>
  <c r="F67" i="11" s="1"/>
  <c r="G67" i="11" s="1"/>
  <c r="I67" i="11" s="1"/>
  <c r="C67" i="11"/>
  <c r="B67" i="11"/>
  <c r="D66" i="11"/>
  <c r="F66" i="11" s="1"/>
  <c r="G66" i="11" s="1"/>
  <c r="I66" i="11" s="1"/>
  <c r="C66" i="11"/>
  <c r="B66" i="11"/>
  <c r="D65" i="11"/>
  <c r="F65" i="11" s="1"/>
  <c r="G65" i="11" s="1"/>
  <c r="C65" i="11"/>
  <c r="B65" i="11"/>
  <c r="D64" i="11"/>
  <c r="F64" i="11" s="1"/>
  <c r="G64" i="11" s="1"/>
  <c r="C64" i="11"/>
  <c r="B64" i="11"/>
  <c r="D63" i="11"/>
  <c r="F63" i="11" s="1"/>
  <c r="G63" i="11" s="1"/>
  <c r="C63" i="11"/>
  <c r="B63" i="11"/>
  <c r="D62" i="11"/>
  <c r="F62" i="11" s="1"/>
  <c r="G62" i="11" s="1"/>
  <c r="I62" i="11" s="1"/>
  <c r="C62" i="11"/>
  <c r="B62" i="11"/>
  <c r="D61" i="11"/>
  <c r="F61" i="11" s="1"/>
  <c r="G61" i="11" s="1"/>
  <c r="I61" i="11" s="1"/>
  <c r="C61" i="11"/>
  <c r="B61" i="11"/>
  <c r="D60" i="11"/>
  <c r="F60" i="11" s="1"/>
  <c r="G60" i="11" s="1"/>
  <c r="C60" i="11"/>
  <c r="B60" i="11"/>
  <c r="D59" i="11"/>
  <c r="F59" i="11" s="1"/>
  <c r="G59" i="11" s="1"/>
  <c r="C59" i="11"/>
  <c r="B59" i="11"/>
  <c r="D58" i="11"/>
  <c r="F58" i="11" s="1"/>
  <c r="G58" i="11" s="1"/>
  <c r="I58" i="11" s="1"/>
  <c r="C58" i="11"/>
  <c r="B58" i="11"/>
  <c r="D57" i="11"/>
  <c r="F57" i="11" s="1"/>
  <c r="G57" i="11" s="1"/>
  <c r="C57" i="11"/>
  <c r="B57" i="11"/>
  <c r="D56" i="11"/>
  <c r="F56" i="11" s="1"/>
  <c r="G56" i="11" s="1"/>
  <c r="C56" i="11"/>
  <c r="B56" i="11"/>
  <c r="D55" i="11"/>
  <c r="F55" i="11" s="1"/>
  <c r="G55" i="11" s="1"/>
  <c r="C55" i="11"/>
  <c r="B55" i="11"/>
  <c r="D54" i="11"/>
  <c r="F54" i="11" s="1"/>
  <c r="G54" i="11" s="1"/>
  <c r="C54" i="11"/>
  <c r="B54" i="11"/>
  <c r="D53" i="11"/>
  <c r="F53" i="11" s="1"/>
  <c r="G53" i="11" s="1"/>
  <c r="C53" i="11"/>
  <c r="B53" i="11"/>
  <c r="F52" i="11"/>
  <c r="G52" i="11" s="1"/>
  <c r="D52" i="11"/>
  <c r="C52" i="11"/>
  <c r="B52" i="11"/>
  <c r="D51" i="11"/>
  <c r="F51" i="11" s="1"/>
  <c r="G51" i="11" s="1"/>
  <c r="C51" i="11"/>
  <c r="B51" i="11"/>
  <c r="D50" i="11"/>
  <c r="F50" i="11" s="1"/>
  <c r="G50" i="11" s="1"/>
  <c r="H50" i="11" s="1"/>
  <c r="C50" i="11"/>
  <c r="B50" i="11"/>
  <c r="D49" i="11"/>
  <c r="F49" i="11" s="1"/>
  <c r="G49" i="11" s="1"/>
  <c r="C49" i="11"/>
  <c r="B49" i="11"/>
  <c r="D48" i="11"/>
  <c r="F48" i="11" s="1"/>
  <c r="G48" i="11" s="1"/>
  <c r="C48" i="11"/>
  <c r="B48" i="11"/>
  <c r="D47" i="11"/>
  <c r="F47" i="11" s="1"/>
  <c r="G47" i="11" s="1"/>
  <c r="C47" i="11"/>
  <c r="B47" i="11"/>
  <c r="D46" i="11"/>
  <c r="F46" i="11" s="1"/>
  <c r="G46" i="11" s="1"/>
  <c r="C46" i="11"/>
  <c r="B46" i="11"/>
  <c r="D45" i="11"/>
  <c r="F45" i="11" s="1"/>
  <c r="G45" i="11" s="1"/>
  <c r="C45" i="11"/>
  <c r="B45" i="11"/>
  <c r="D44" i="11"/>
  <c r="F44" i="11" s="1"/>
  <c r="G44" i="11" s="1"/>
  <c r="C44" i="11"/>
  <c r="B44" i="11"/>
  <c r="D43" i="11"/>
  <c r="F43" i="11" s="1"/>
  <c r="G43" i="11" s="1"/>
  <c r="C43" i="11"/>
  <c r="B43" i="11"/>
  <c r="D42" i="11"/>
  <c r="F42" i="11" s="1"/>
  <c r="G42" i="11" s="1"/>
  <c r="H42" i="11" s="1"/>
  <c r="C42" i="11"/>
  <c r="B42" i="11"/>
  <c r="D41" i="11"/>
  <c r="F41" i="11" s="1"/>
  <c r="G41" i="11" s="1"/>
  <c r="C41" i="11"/>
  <c r="B41" i="11"/>
  <c r="D40" i="11"/>
  <c r="F40" i="11" s="1"/>
  <c r="G40" i="11" s="1"/>
  <c r="C40" i="11"/>
  <c r="B40" i="11"/>
  <c r="D39" i="11"/>
  <c r="F39" i="11" s="1"/>
  <c r="G39" i="11" s="1"/>
  <c r="C39" i="11"/>
  <c r="B39" i="11"/>
  <c r="D38" i="11"/>
  <c r="F38" i="11" s="1"/>
  <c r="G38" i="11" s="1"/>
  <c r="C38" i="11"/>
  <c r="B38" i="11"/>
  <c r="D37" i="11"/>
  <c r="F37" i="11" s="1"/>
  <c r="G37" i="11" s="1"/>
  <c r="C37" i="11"/>
  <c r="B37" i="11"/>
  <c r="D36" i="11"/>
  <c r="F36" i="11" s="1"/>
  <c r="G36" i="11" s="1"/>
  <c r="C36" i="11"/>
  <c r="B36" i="11"/>
  <c r="D35" i="11"/>
  <c r="F35" i="11" s="1"/>
  <c r="G35" i="11" s="1"/>
  <c r="C35" i="11"/>
  <c r="B35" i="11"/>
  <c r="D34" i="11"/>
  <c r="F34" i="11" s="1"/>
  <c r="G34" i="11" s="1"/>
  <c r="H34" i="11" s="1"/>
  <c r="C34" i="11"/>
  <c r="B34" i="11"/>
  <c r="D33" i="11"/>
  <c r="F33" i="11" s="1"/>
  <c r="G33" i="11" s="1"/>
  <c r="C33" i="11"/>
  <c r="B33" i="11"/>
  <c r="D32" i="11"/>
  <c r="F32" i="11" s="1"/>
  <c r="G32" i="11" s="1"/>
  <c r="C32" i="11"/>
  <c r="B32" i="11"/>
  <c r="D31" i="11"/>
  <c r="F31" i="11" s="1"/>
  <c r="G31" i="11" s="1"/>
  <c r="C31" i="11"/>
  <c r="B31" i="11"/>
  <c r="D30" i="11"/>
  <c r="F30" i="11" s="1"/>
  <c r="G30" i="11" s="1"/>
  <c r="C30" i="11"/>
  <c r="B30" i="11"/>
  <c r="D29" i="11"/>
  <c r="F29" i="11" s="1"/>
  <c r="G29" i="11" s="1"/>
  <c r="C29" i="11"/>
  <c r="B29" i="11"/>
  <c r="D28" i="11"/>
  <c r="F28" i="11" s="1"/>
  <c r="G28" i="11" s="1"/>
  <c r="C28" i="11"/>
  <c r="B28" i="11"/>
  <c r="D27" i="11"/>
  <c r="F27" i="11" s="1"/>
  <c r="G27" i="11" s="1"/>
  <c r="C27" i="11"/>
  <c r="B27" i="11"/>
  <c r="D26" i="11"/>
  <c r="F26" i="11" s="1"/>
  <c r="G26" i="11" s="1"/>
  <c r="H26" i="11" s="1"/>
  <c r="C26" i="11"/>
  <c r="B26" i="11"/>
  <c r="D25" i="11"/>
  <c r="F25" i="11" s="1"/>
  <c r="G25" i="11" s="1"/>
  <c r="C25" i="11"/>
  <c r="B25" i="11"/>
  <c r="D24" i="11"/>
  <c r="F24" i="11" s="1"/>
  <c r="G24" i="11" s="1"/>
  <c r="C24" i="11"/>
  <c r="B24" i="11"/>
  <c r="D23" i="11"/>
  <c r="F23" i="11" s="1"/>
  <c r="G23" i="11" s="1"/>
  <c r="C23" i="11"/>
  <c r="B23" i="11"/>
  <c r="AF106" i="13"/>
  <c r="AA106" i="13"/>
  <c r="V106" i="13"/>
  <c r="N104" i="13"/>
  <c r="L104" i="13"/>
  <c r="M104" i="13" s="1"/>
  <c r="T104" i="13" s="1"/>
  <c r="H104" i="13"/>
  <c r="G104" i="13"/>
  <c r="F104" i="13"/>
  <c r="A104" i="13"/>
  <c r="N103" i="13"/>
  <c r="L103" i="13"/>
  <c r="M103" i="13" s="1"/>
  <c r="H103" i="13"/>
  <c r="G103" i="13"/>
  <c r="F103" i="13"/>
  <c r="N102" i="13"/>
  <c r="L102" i="13"/>
  <c r="AD102" i="13" s="1"/>
  <c r="H102" i="13"/>
  <c r="G102" i="13"/>
  <c r="F102" i="13"/>
  <c r="N101" i="13"/>
  <c r="L101" i="13"/>
  <c r="AD101" i="13" s="1"/>
  <c r="H101" i="13"/>
  <c r="G101" i="13"/>
  <c r="F101" i="13"/>
  <c r="N100" i="13"/>
  <c r="L100" i="13"/>
  <c r="M100" i="13" s="1"/>
  <c r="H100" i="13"/>
  <c r="G100" i="13"/>
  <c r="F100" i="13"/>
  <c r="N99" i="13"/>
  <c r="L99" i="13"/>
  <c r="M99" i="13" s="1"/>
  <c r="T99" i="13" s="1"/>
  <c r="H99" i="13"/>
  <c r="G99" i="13"/>
  <c r="F99" i="13"/>
  <c r="N98" i="13"/>
  <c r="L98" i="13"/>
  <c r="M98" i="13" s="1"/>
  <c r="H98" i="13"/>
  <c r="G98" i="13"/>
  <c r="F98" i="13"/>
  <c r="N97" i="13"/>
  <c r="L97" i="13"/>
  <c r="M97" i="13" s="1"/>
  <c r="H97" i="13"/>
  <c r="G97" i="13"/>
  <c r="F97" i="13"/>
  <c r="N96" i="13"/>
  <c r="L96" i="13"/>
  <c r="M96" i="13" s="1"/>
  <c r="H96" i="13"/>
  <c r="G96" i="13"/>
  <c r="F96" i="13"/>
  <c r="N95" i="13"/>
  <c r="L95" i="13"/>
  <c r="M95" i="13" s="1"/>
  <c r="H95" i="13"/>
  <c r="G95" i="13"/>
  <c r="F95" i="13"/>
  <c r="N94" i="13"/>
  <c r="L94" i="13"/>
  <c r="M94" i="13" s="1"/>
  <c r="H94" i="13"/>
  <c r="G94" i="13"/>
  <c r="F94" i="13"/>
  <c r="N93" i="13"/>
  <c r="L93" i="13"/>
  <c r="M93" i="13" s="1"/>
  <c r="H93" i="13"/>
  <c r="G93" i="13"/>
  <c r="F93" i="13"/>
  <c r="N92" i="13"/>
  <c r="L92" i="13"/>
  <c r="M92" i="13" s="1"/>
  <c r="T92" i="13" s="1"/>
  <c r="H92" i="13"/>
  <c r="G92" i="13"/>
  <c r="F92" i="13"/>
  <c r="N91" i="13"/>
  <c r="L91" i="13"/>
  <c r="AD91" i="13" s="1"/>
  <c r="H91" i="13"/>
  <c r="G91" i="13"/>
  <c r="F91" i="13"/>
  <c r="N90" i="13"/>
  <c r="L90" i="13"/>
  <c r="M90" i="13" s="1"/>
  <c r="H90" i="13"/>
  <c r="G90" i="13"/>
  <c r="F90" i="13"/>
  <c r="N89" i="13"/>
  <c r="L89" i="13"/>
  <c r="M89" i="13" s="1"/>
  <c r="S89" i="13" s="1"/>
  <c r="H89" i="13"/>
  <c r="G89" i="13"/>
  <c r="F89" i="13"/>
  <c r="N88" i="13"/>
  <c r="L88" i="13"/>
  <c r="M88" i="13" s="1"/>
  <c r="T88" i="13" s="1"/>
  <c r="H88" i="13"/>
  <c r="G88" i="13"/>
  <c r="F88" i="13"/>
  <c r="N87" i="13"/>
  <c r="L87" i="13"/>
  <c r="M87" i="13" s="1"/>
  <c r="Q87" i="13" s="1"/>
  <c r="H87" i="13"/>
  <c r="G87" i="13"/>
  <c r="F87" i="13"/>
  <c r="N86" i="13"/>
  <c r="L86" i="13"/>
  <c r="M86" i="13" s="1"/>
  <c r="H86" i="13"/>
  <c r="G86" i="13"/>
  <c r="F86" i="13"/>
  <c r="N85" i="13"/>
  <c r="L85" i="13"/>
  <c r="M85" i="13" s="1"/>
  <c r="S85" i="13" s="1"/>
  <c r="H85" i="13"/>
  <c r="G85" i="13"/>
  <c r="F85" i="13"/>
  <c r="N84" i="13"/>
  <c r="L84" i="13"/>
  <c r="M84" i="13" s="1"/>
  <c r="H84" i="13"/>
  <c r="G84" i="13"/>
  <c r="F84" i="13"/>
  <c r="N83" i="13"/>
  <c r="L83" i="13"/>
  <c r="M83" i="13" s="1"/>
  <c r="R83" i="13" s="1"/>
  <c r="H83" i="13"/>
  <c r="G83" i="13"/>
  <c r="F83" i="13"/>
  <c r="N82" i="13"/>
  <c r="L82" i="13"/>
  <c r="M82" i="13" s="1"/>
  <c r="H82" i="13"/>
  <c r="G82" i="13"/>
  <c r="F82" i="13"/>
  <c r="N81" i="13"/>
  <c r="L81" i="13"/>
  <c r="M81" i="13" s="1"/>
  <c r="H81" i="13"/>
  <c r="G81" i="13"/>
  <c r="F81" i="13"/>
  <c r="N80" i="13"/>
  <c r="L80" i="13"/>
  <c r="M80" i="13" s="1"/>
  <c r="H80" i="13"/>
  <c r="G80" i="13"/>
  <c r="F80" i="13"/>
  <c r="N79" i="13"/>
  <c r="L79" i="13"/>
  <c r="M79" i="13" s="1"/>
  <c r="H79" i="13"/>
  <c r="G79" i="13"/>
  <c r="F79" i="13"/>
  <c r="N78" i="13"/>
  <c r="L78" i="13"/>
  <c r="H78" i="13"/>
  <c r="G78" i="13"/>
  <c r="F78" i="13"/>
  <c r="N77" i="13"/>
  <c r="L77" i="13"/>
  <c r="M77" i="13" s="1"/>
  <c r="Q77" i="13" s="1"/>
  <c r="H77" i="13"/>
  <c r="G77" i="13"/>
  <c r="F77" i="13"/>
  <c r="N76" i="13"/>
  <c r="L76" i="13"/>
  <c r="M76" i="13" s="1"/>
  <c r="Q76" i="13" s="1"/>
  <c r="H76" i="13"/>
  <c r="G76" i="13"/>
  <c r="F76" i="13"/>
  <c r="N75" i="13"/>
  <c r="L75" i="13"/>
  <c r="M75" i="13" s="1"/>
  <c r="S75" i="13" s="1"/>
  <c r="H75" i="13"/>
  <c r="G75" i="13"/>
  <c r="F75" i="13"/>
  <c r="N74" i="13"/>
  <c r="L74" i="13"/>
  <c r="H74" i="13"/>
  <c r="G74" i="13"/>
  <c r="F74" i="13"/>
  <c r="N73" i="13"/>
  <c r="L73" i="13"/>
  <c r="M73" i="13" s="1"/>
  <c r="R73" i="13" s="1"/>
  <c r="H73" i="13"/>
  <c r="G73" i="13"/>
  <c r="F73" i="13"/>
  <c r="N72" i="13"/>
  <c r="L72" i="13"/>
  <c r="M72" i="13" s="1"/>
  <c r="H72" i="13"/>
  <c r="G72" i="13"/>
  <c r="F72" i="13"/>
  <c r="N71" i="13"/>
  <c r="L71" i="13"/>
  <c r="M71" i="13" s="1"/>
  <c r="Q71" i="13" s="1"/>
  <c r="H71" i="13"/>
  <c r="G71" i="13"/>
  <c r="F71" i="13"/>
  <c r="N70" i="13"/>
  <c r="L70" i="13"/>
  <c r="M70" i="13" s="1"/>
  <c r="W70" i="13" s="1"/>
  <c r="H70" i="13"/>
  <c r="G70" i="13"/>
  <c r="F70" i="13"/>
  <c r="N69" i="13"/>
  <c r="L69" i="13"/>
  <c r="M69" i="13" s="1"/>
  <c r="S69" i="13" s="1"/>
  <c r="H69" i="13"/>
  <c r="G69" i="13"/>
  <c r="F69" i="13"/>
  <c r="N68" i="13"/>
  <c r="L68" i="13"/>
  <c r="M68" i="13" s="1"/>
  <c r="T68" i="13" s="1"/>
  <c r="H68" i="13"/>
  <c r="G68" i="13"/>
  <c r="F68" i="13"/>
  <c r="N67" i="13"/>
  <c r="L67" i="13"/>
  <c r="M67" i="13" s="1"/>
  <c r="Q67" i="13" s="1"/>
  <c r="H67" i="13"/>
  <c r="G67" i="13"/>
  <c r="F67" i="13"/>
  <c r="N66" i="13"/>
  <c r="L66" i="13"/>
  <c r="M66" i="13" s="1"/>
  <c r="W66" i="13" s="1"/>
  <c r="H66" i="13"/>
  <c r="G66" i="13"/>
  <c r="F66" i="13"/>
  <c r="N65" i="13"/>
  <c r="L65" i="13"/>
  <c r="M65" i="13" s="1"/>
  <c r="S65" i="13" s="1"/>
  <c r="H65" i="13"/>
  <c r="G65" i="13"/>
  <c r="F65" i="13"/>
  <c r="N64" i="13"/>
  <c r="L64" i="13"/>
  <c r="M64" i="13" s="1"/>
  <c r="H64" i="13"/>
  <c r="G64" i="13"/>
  <c r="F64" i="13"/>
  <c r="N63" i="13"/>
  <c r="L63" i="13"/>
  <c r="M63" i="13" s="1"/>
  <c r="Q63" i="13" s="1"/>
  <c r="H63" i="13"/>
  <c r="G63" i="13"/>
  <c r="F63" i="13"/>
  <c r="N62" i="13"/>
  <c r="L62" i="13"/>
  <c r="M62" i="13" s="1"/>
  <c r="W62" i="13" s="1"/>
  <c r="H62" i="13"/>
  <c r="G62" i="13"/>
  <c r="F62" i="13"/>
  <c r="N61" i="13"/>
  <c r="L61" i="13"/>
  <c r="M61" i="13" s="1"/>
  <c r="S61" i="13" s="1"/>
  <c r="H61" i="13"/>
  <c r="G61" i="13"/>
  <c r="F61" i="13"/>
  <c r="N60" i="13"/>
  <c r="L60" i="13"/>
  <c r="M60" i="13" s="1"/>
  <c r="H60" i="13"/>
  <c r="G60" i="13"/>
  <c r="F60" i="13"/>
  <c r="N59" i="13"/>
  <c r="L59" i="13"/>
  <c r="AD59" i="13" s="1"/>
  <c r="H59" i="13"/>
  <c r="G59" i="13"/>
  <c r="F59" i="13"/>
  <c r="N58" i="13"/>
  <c r="L58" i="13"/>
  <c r="M58" i="13" s="1"/>
  <c r="H58" i="13"/>
  <c r="G58" i="13"/>
  <c r="F58" i="13"/>
  <c r="N57" i="13"/>
  <c r="L57" i="13"/>
  <c r="M57" i="13" s="1"/>
  <c r="X57" i="13" s="1"/>
  <c r="H57" i="13"/>
  <c r="G57" i="13"/>
  <c r="F57" i="13"/>
  <c r="N56" i="13"/>
  <c r="L56" i="13"/>
  <c r="M56" i="13" s="1"/>
  <c r="P56" i="13" s="1"/>
  <c r="H56" i="13"/>
  <c r="G56" i="13"/>
  <c r="F56" i="13"/>
  <c r="N55" i="13"/>
  <c r="L55" i="13"/>
  <c r="M55" i="13" s="1"/>
  <c r="H55" i="13"/>
  <c r="G55" i="13"/>
  <c r="F55" i="13"/>
  <c r="N54" i="13"/>
  <c r="L54" i="13"/>
  <c r="M54" i="13" s="1"/>
  <c r="R54" i="13" s="1"/>
  <c r="H54" i="13"/>
  <c r="G54" i="13"/>
  <c r="F54" i="13"/>
  <c r="N53" i="13"/>
  <c r="L53" i="13"/>
  <c r="M53" i="13" s="1"/>
  <c r="Q53" i="13" s="1"/>
  <c r="H53" i="13"/>
  <c r="G53" i="13"/>
  <c r="F53" i="13"/>
  <c r="N52" i="13"/>
  <c r="L52" i="13"/>
  <c r="M52" i="13" s="1"/>
  <c r="S52" i="13" s="1"/>
  <c r="H52" i="13"/>
  <c r="G52" i="13"/>
  <c r="F52" i="13"/>
  <c r="N51" i="13"/>
  <c r="L51" i="13"/>
  <c r="H51" i="13"/>
  <c r="G51" i="13"/>
  <c r="F51" i="13"/>
  <c r="N50" i="13"/>
  <c r="L50" i="13"/>
  <c r="M50" i="13" s="1"/>
  <c r="H50" i="13"/>
  <c r="G50" i="13"/>
  <c r="F50" i="13"/>
  <c r="N49" i="13"/>
  <c r="L49" i="13"/>
  <c r="M49" i="13" s="1"/>
  <c r="Q49" i="13" s="1"/>
  <c r="H49" i="13"/>
  <c r="G49" i="13"/>
  <c r="F49" i="13"/>
  <c r="N48" i="13"/>
  <c r="L48" i="13"/>
  <c r="M48" i="13" s="1"/>
  <c r="H48" i="13"/>
  <c r="G48" i="13"/>
  <c r="F48" i="13"/>
  <c r="N47" i="13"/>
  <c r="L47" i="13"/>
  <c r="M47" i="13" s="1"/>
  <c r="T47" i="13" s="1"/>
  <c r="H47" i="13"/>
  <c r="G47" i="13"/>
  <c r="F47" i="13"/>
  <c r="N46" i="13"/>
  <c r="L46" i="13"/>
  <c r="M46" i="13" s="1"/>
  <c r="Q46" i="13" s="1"/>
  <c r="H46" i="13"/>
  <c r="G46" i="13"/>
  <c r="F46" i="13"/>
  <c r="N45" i="13"/>
  <c r="L45" i="13"/>
  <c r="M45" i="13" s="1"/>
  <c r="Q45" i="13" s="1"/>
  <c r="H45" i="13"/>
  <c r="G45" i="13"/>
  <c r="F45" i="13"/>
  <c r="N44" i="13"/>
  <c r="L44" i="13"/>
  <c r="M44" i="13" s="1"/>
  <c r="S44" i="13" s="1"/>
  <c r="H44" i="13"/>
  <c r="G44" i="13"/>
  <c r="F44" i="13"/>
  <c r="N43" i="13"/>
  <c r="L43" i="13"/>
  <c r="M43" i="13" s="1"/>
  <c r="H43" i="13"/>
  <c r="G43" i="13"/>
  <c r="F43" i="13"/>
  <c r="N42" i="13"/>
  <c r="L42" i="13"/>
  <c r="M42" i="13" s="1"/>
  <c r="Q42" i="13" s="1"/>
  <c r="H42" i="13"/>
  <c r="G42" i="13"/>
  <c r="F42" i="13"/>
  <c r="N41" i="13"/>
  <c r="L41" i="13"/>
  <c r="M41" i="13" s="1"/>
  <c r="H41" i="13"/>
  <c r="G41" i="13"/>
  <c r="F41" i="13"/>
  <c r="N40" i="13"/>
  <c r="L40" i="13"/>
  <c r="M40" i="13" s="1"/>
  <c r="S40" i="13" s="1"/>
  <c r="H40" i="13"/>
  <c r="G40" i="13"/>
  <c r="F40" i="13"/>
  <c r="N39" i="13"/>
  <c r="L39" i="13"/>
  <c r="M39" i="13" s="1"/>
  <c r="T39" i="13" s="1"/>
  <c r="H39" i="13"/>
  <c r="G39" i="13"/>
  <c r="F39" i="13"/>
  <c r="N38" i="13"/>
  <c r="L38" i="13"/>
  <c r="AD38" i="13" s="1"/>
  <c r="H38" i="13"/>
  <c r="G38" i="13"/>
  <c r="F38" i="13"/>
  <c r="N37" i="13"/>
  <c r="L37" i="13"/>
  <c r="M37" i="13" s="1"/>
  <c r="H37" i="13"/>
  <c r="G37" i="13"/>
  <c r="F37" i="13"/>
  <c r="N36" i="13"/>
  <c r="L36" i="13"/>
  <c r="M36" i="13" s="1"/>
  <c r="S36" i="13" s="1"/>
  <c r="H36" i="13"/>
  <c r="G36" i="13"/>
  <c r="F36" i="13"/>
  <c r="N35" i="13"/>
  <c r="L35" i="13"/>
  <c r="M35" i="13" s="1"/>
  <c r="T35" i="13" s="1"/>
  <c r="H35" i="13"/>
  <c r="G35" i="13"/>
  <c r="F35" i="13"/>
  <c r="N34" i="13"/>
  <c r="L34" i="13"/>
  <c r="AD34" i="13" s="1"/>
  <c r="H34" i="13"/>
  <c r="G34" i="13"/>
  <c r="F34" i="13"/>
  <c r="N33" i="13"/>
  <c r="L33" i="13"/>
  <c r="M33" i="13" s="1"/>
  <c r="H33" i="13"/>
  <c r="G33" i="13"/>
  <c r="F33" i="13"/>
  <c r="N32" i="13"/>
  <c r="L32" i="13"/>
  <c r="M32" i="13" s="1"/>
  <c r="H32" i="13"/>
  <c r="G32" i="13"/>
  <c r="F32" i="13"/>
  <c r="N31" i="13"/>
  <c r="L31" i="13"/>
  <c r="M31" i="13" s="1"/>
  <c r="H31" i="13"/>
  <c r="G31" i="13"/>
  <c r="F31" i="13"/>
  <c r="N30" i="13"/>
  <c r="L30" i="13"/>
  <c r="M30" i="13" s="1"/>
  <c r="Q30" i="13" s="1"/>
  <c r="H30" i="13"/>
  <c r="G30" i="13"/>
  <c r="F30" i="13"/>
  <c r="N29" i="13"/>
  <c r="L29" i="13"/>
  <c r="M29" i="13" s="1"/>
  <c r="H29" i="13"/>
  <c r="G29" i="13"/>
  <c r="F29" i="13"/>
  <c r="N28" i="13"/>
  <c r="L28" i="13"/>
  <c r="M28" i="13" s="1"/>
  <c r="W28" i="13" s="1"/>
  <c r="H28" i="13"/>
  <c r="G28" i="13"/>
  <c r="F28" i="13"/>
  <c r="N27" i="13"/>
  <c r="L27" i="13"/>
  <c r="M27" i="13" s="1"/>
  <c r="H27" i="13"/>
  <c r="G27" i="13"/>
  <c r="F27" i="13"/>
  <c r="N26" i="13"/>
  <c r="L26" i="13"/>
  <c r="M26" i="13" s="1"/>
  <c r="Q26" i="13" s="1"/>
  <c r="H26" i="13"/>
  <c r="G26" i="13"/>
  <c r="F26" i="13"/>
  <c r="N25" i="13"/>
  <c r="L25" i="13"/>
  <c r="M25" i="13" s="1"/>
  <c r="H25" i="13"/>
  <c r="G25" i="13"/>
  <c r="F25" i="13"/>
  <c r="N24" i="13"/>
  <c r="L24" i="13"/>
  <c r="M24" i="13" s="1"/>
  <c r="H24" i="13"/>
  <c r="G24" i="13"/>
  <c r="F24" i="13"/>
  <c r="N23" i="13"/>
  <c r="L23" i="13"/>
  <c r="AD23" i="13" s="1"/>
  <c r="H23" i="13"/>
  <c r="G23" i="13"/>
  <c r="F23" i="13"/>
  <c r="AF107" i="5"/>
  <c r="AA107" i="5"/>
  <c r="V107" i="5"/>
  <c r="N107" i="5"/>
  <c r="N105" i="5"/>
  <c r="L105" i="5"/>
  <c r="M105" i="5" s="1"/>
  <c r="T105" i="5" s="1"/>
  <c r="H105" i="5"/>
  <c r="G105" i="5"/>
  <c r="F105" i="5"/>
  <c r="N104" i="5"/>
  <c r="L104" i="5"/>
  <c r="M104" i="5" s="1"/>
  <c r="P104" i="5" s="1"/>
  <c r="H104" i="5"/>
  <c r="G104" i="5"/>
  <c r="F104" i="5"/>
  <c r="N103" i="5"/>
  <c r="L103" i="5"/>
  <c r="H103" i="5"/>
  <c r="G103" i="5"/>
  <c r="F103" i="5"/>
  <c r="N102" i="5"/>
  <c r="L102" i="5"/>
  <c r="M102" i="5" s="1"/>
  <c r="P102" i="5" s="1"/>
  <c r="H102" i="5"/>
  <c r="X102" i="5" s="1"/>
  <c r="G102" i="5"/>
  <c r="F102" i="5"/>
  <c r="N101" i="5"/>
  <c r="L101" i="5"/>
  <c r="H101" i="5"/>
  <c r="G101" i="5"/>
  <c r="F101" i="5"/>
  <c r="T100" i="5"/>
  <c r="N100" i="5"/>
  <c r="L100" i="5"/>
  <c r="M100" i="5" s="1"/>
  <c r="H100" i="5"/>
  <c r="G100" i="5"/>
  <c r="F100" i="5"/>
  <c r="N99" i="5"/>
  <c r="L99" i="5"/>
  <c r="M99" i="5" s="1"/>
  <c r="W99" i="5" s="1"/>
  <c r="H99" i="5"/>
  <c r="G99" i="5"/>
  <c r="F99" i="5"/>
  <c r="N98" i="5"/>
  <c r="L98" i="5"/>
  <c r="M98" i="5" s="1"/>
  <c r="H98" i="5"/>
  <c r="G98" i="5"/>
  <c r="F98" i="5"/>
  <c r="N97" i="5"/>
  <c r="L97" i="5"/>
  <c r="M97" i="5" s="1"/>
  <c r="H97" i="5"/>
  <c r="G97" i="5"/>
  <c r="F97" i="5"/>
  <c r="N96" i="5"/>
  <c r="L96" i="5"/>
  <c r="M96" i="5" s="1"/>
  <c r="W96" i="5" s="1"/>
  <c r="H96" i="5"/>
  <c r="G96" i="5"/>
  <c r="F96" i="5"/>
  <c r="N95" i="5"/>
  <c r="L95" i="5"/>
  <c r="M95" i="5" s="1"/>
  <c r="H95" i="5"/>
  <c r="G95" i="5"/>
  <c r="F95" i="5"/>
  <c r="N94" i="5"/>
  <c r="L94" i="5"/>
  <c r="M94" i="5" s="1"/>
  <c r="H94" i="5"/>
  <c r="G94" i="5"/>
  <c r="F94" i="5"/>
  <c r="N93" i="5"/>
  <c r="L93" i="5"/>
  <c r="M93" i="5" s="1"/>
  <c r="H93" i="5"/>
  <c r="G93" i="5"/>
  <c r="F93" i="5"/>
  <c r="N92" i="5"/>
  <c r="L92" i="5"/>
  <c r="M92" i="5" s="1"/>
  <c r="Q92" i="5" s="1"/>
  <c r="H92" i="5"/>
  <c r="G92" i="5"/>
  <c r="F92" i="5"/>
  <c r="N91" i="5"/>
  <c r="L91" i="5"/>
  <c r="M91" i="5" s="1"/>
  <c r="Q91" i="5" s="1"/>
  <c r="H91" i="5"/>
  <c r="G91" i="5"/>
  <c r="F91" i="5"/>
  <c r="N90" i="5"/>
  <c r="L90" i="5"/>
  <c r="M90" i="5" s="1"/>
  <c r="W90" i="5" s="1"/>
  <c r="H90" i="5"/>
  <c r="G90" i="5"/>
  <c r="F90" i="5"/>
  <c r="N89" i="5"/>
  <c r="L89" i="5"/>
  <c r="M89" i="5" s="1"/>
  <c r="H89" i="5"/>
  <c r="X89" i="5" s="1"/>
  <c r="G89" i="5"/>
  <c r="F89" i="5"/>
  <c r="N88" i="5"/>
  <c r="L88" i="5"/>
  <c r="M88" i="5" s="1"/>
  <c r="H88" i="5"/>
  <c r="G88" i="5"/>
  <c r="F88" i="5"/>
  <c r="N87" i="5"/>
  <c r="L87" i="5"/>
  <c r="M87" i="5" s="1"/>
  <c r="H87" i="5"/>
  <c r="G87" i="5"/>
  <c r="F87" i="5"/>
  <c r="N86" i="5"/>
  <c r="L86" i="5"/>
  <c r="M86" i="5" s="1"/>
  <c r="H86" i="5"/>
  <c r="G86" i="5"/>
  <c r="F86" i="5"/>
  <c r="N85" i="5"/>
  <c r="L85" i="5"/>
  <c r="M85" i="5" s="1"/>
  <c r="H85" i="5"/>
  <c r="G85" i="5"/>
  <c r="F85" i="5"/>
  <c r="N84" i="5"/>
  <c r="L84" i="5"/>
  <c r="M84" i="5" s="1"/>
  <c r="H84" i="5"/>
  <c r="G84" i="5"/>
  <c r="F84" i="5"/>
  <c r="N83" i="5"/>
  <c r="L83" i="5"/>
  <c r="M83" i="5" s="1"/>
  <c r="H83" i="5"/>
  <c r="G83" i="5"/>
  <c r="F83" i="5"/>
  <c r="N82" i="5"/>
  <c r="L82" i="5"/>
  <c r="M82" i="5" s="1"/>
  <c r="H82" i="5"/>
  <c r="G82" i="5"/>
  <c r="F82" i="5"/>
  <c r="N81" i="5"/>
  <c r="L81" i="5"/>
  <c r="M81" i="5" s="1"/>
  <c r="H81" i="5"/>
  <c r="G81" i="5"/>
  <c r="F81" i="5"/>
  <c r="N80" i="5"/>
  <c r="L80" i="5"/>
  <c r="M80" i="5" s="1"/>
  <c r="H80" i="5"/>
  <c r="G80" i="5"/>
  <c r="F80" i="5"/>
  <c r="N79" i="5"/>
  <c r="L79" i="5"/>
  <c r="M79" i="5" s="1"/>
  <c r="H79" i="5"/>
  <c r="G79" i="5"/>
  <c r="F79" i="5"/>
  <c r="N78" i="5"/>
  <c r="M78" i="5"/>
  <c r="Q78" i="5" s="1"/>
  <c r="L78" i="5"/>
  <c r="H78" i="5"/>
  <c r="G78" i="5"/>
  <c r="F78" i="5"/>
  <c r="N77" i="5"/>
  <c r="M77" i="5"/>
  <c r="X77" i="5" s="1"/>
  <c r="L77" i="5"/>
  <c r="H77" i="5"/>
  <c r="G77" i="5"/>
  <c r="F77" i="5"/>
  <c r="N76" i="5"/>
  <c r="L76" i="5"/>
  <c r="M76" i="5" s="1"/>
  <c r="H76" i="5"/>
  <c r="G76" i="5"/>
  <c r="F76" i="5"/>
  <c r="N75" i="5"/>
  <c r="L75" i="5"/>
  <c r="M75" i="5" s="1"/>
  <c r="Q75" i="5" s="1"/>
  <c r="H75" i="5"/>
  <c r="G75" i="5"/>
  <c r="F75" i="5"/>
  <c r="N74" i="5"/>
  <c r="L74" i="5"/>
  <c r="M74" i="5" s="1"/>
  <c r="H74" i="5"/>
  <c r="G74" i="5"/>
  <c r="F74" i="5"/>
  <c r="N73" i="5"/>
  <c r="M73" i="5"/>
  <c r="Q73" i="5" s="1"/>
  <c r="L73" i="5"/>
  <c r="H73" i="5"/>
  <c r="G73" i="5"/>
  <c r="F73" i="5"/>
  <c r="N72" i="5"/>
  <c r="L72" i="5"/>
  <c r="M72" i="5" s="1"/>
  <c r="H72" i="5"/>
  <c r="G72" i="5"/>
  <c r="F72" i="5"/>
  <c r="N71" i="5"/>
  <c r="L71" i="5"/>
  <c r="M71" i="5" s="1"/>
  <c r="Q71" i="5" s="1"/>
  <c r="H71" i="5"/>
  <c r="G71" i="5"/>
  <c r="F71" i="5"/>
  <c r="N70" i="5"/>
  <c r="L70" i="5"/>
  <c r="M70" i="5" s="1"/>
  <c r="H70" i="5"/>
  <c r="G70" i="5"/>
  <c r="F70" i="5"/>
  <c r="N69" i="5"/>
  <c r="M69" i="5"/>
  <c r="Q69" i="5" s="1"/>
  <c r="L69" i="5"/>
  <c r="H69" i="5"/>
  <c r="G69" i="5"/>
  <c r="F69" i="5"/>
  <c r="N68" i="5"/>
  <c r="L68" i="5"/>
  <c r="M68" i="5" s="1"/>
  <c r="H68" i="5"/>
  <c r="G68" i="5"/>
  <c r="F68" i="5"/>
  <c r="N67" i="5"/>
  <c r="L67" i="5"/>
  <c r="M67" i="5" s="1"/>
  <c r="H67" i="5"/>
  <c r="G67" i="5"/>
  <c r="F67" i="5"/>
  <c r="N66" i="5"/>
  <c r="L66" i="5"/>
  <c r="M66" i="5" s="1"/>
  <c r="H66" i="5"/>
  <c r="G66" i="5"/>
  <c r="F66" i="5"/>
  <c r="N65" i="5"/>
  <c r="L65" i="5"/>
  <c r="M65" i="5" s="1"/>
  <c r="Q65" i="5" s="1"/>
  <c r="H65" i="5"/>
  <c r="G65" i="5"/>
  <c r="F65" i="5"/>
  <c r="N64" i="5"/>
  <c r="L64" i="5"/>
  <c r="M64" i="5" s="1"/>
  <c r="X64" i="5" s="1"/>
  <c r="H64" i="5"/>
  <c r="G64" i="5"/>
  <c r="F64" i="5"/>
  <c r="N63" i="5"/>
  <c r="L63" i="5"/>
  <c r="M63" i="5" s="1"/>
  <c r="H63" i="5"/>
  <c r="G63" i="5"/>
  <c r="F63" i="5"/>
  <c r="N62" i="5"/>
  <c r="L62" i="5"/>
  <c r="M62" i="5" s="1"/>
  <c r="H62" i="5"/>
  <c r="G62" i="5"/>
  <c r="F62" i="5"/>
  <c r="N61" i="5"/>
  <c r="M61" i="5"/>
  <c r="Q61" i="5" s="1"/>
  <c r="L61" i="5"/>
  <c r="H61" i="5"/>
  <c r="G61" i="5"/>
  <c r="F61" i="5"/>
  <c r="N60" i="5"/>
  <c r="L60" i="5"/>
  <c r="M60" i="5" s="1"/>
  <c r="X60" i="5" s="1"/>
  <c r="H60" i="5"/>
  <c r="G60" i="5"/>
  <c r="F60" i="5"/>
  <c r="N59" i="5"/>
  <c r="L59" i="5"/>
  <c r="M59" i="5" s="1"/>
  <c r="H59" i="5"/>
  <c r="G59" i="5"/>
  <c r="F59" i="5"/>
  <c r="N58" i="5"/>
  <c r="L58" i="5"/>
  <c r="M58" i="5" s="1"/>
  <c r="H58" i="5"/>
  <c r="G58" i="5"/>
  <c r="F58" i="5"/>
  <c r="N57" i="5"/>
  <c r="L57" i="5"/>
  <c r="M57" i="5" s="1"/>
  <c r="Q57" i="5" s="1"/>
  <c r="H57" i="5"/>
  <c r="G57" i="5"/>
  <c r="F57" i="5"/>
  <c r="N56" i="5"/>
  <c r="L56" i="5"/>
  <c r="M56" i="5" s="1"/>
  <c r="X56" i="5" s="1"/>
  <c r="H56" i="5"/>
  <c r="G56" i="5"/>
  <c r="F56" i="5"/>
  <c r="N55" i="5"/>
  <c r="L55" i="5"/>
  <c r="M55" i="5" s="1"/>
  <c r="H55" i="5"/>
  <c r="G55" i="5"/>
  <c r="F55" i="5"/>
  <c r="N54" i="5"/>
  <c r="L54" i="5"/>
  <c r="M54" i="5" s="1"/>
  <c r="H54" i="5"/>
  <c r="G54" i="5"/>
  <c r="F54" i="5"/>
  <c r="N53" i="5"/>
  <c r="L53" i="5"/>
  <c r="M53" i="5" s="1"/>
  <c r="S53" i="5" s="1"/>
  <c r="H53" i="5"/>
  <c r="G53" i="5"/>
  <c r="F53" i="5"/>
  <c r="N52" i="5"/>
  <c r="L52" i="5"/>
  <c r="M52" i="5" s="1"/>
  <c r="S52" i="5" s="1"/>
  <c r="H52" i="5"/>
  <c r="G52" i="5"/>
  <c r="F52" i="5"/>
  <c r="N51" i="5"/>
  <c r="L51" i="5"/>
  <c r="M51" i="5" s="1"/>
  <c r="H51" i="5"/>
  <c r="G51" i="5"/>
  <c r="F51" i="5"/>
  <c r="N50" i="5"/>
  <c r="L50" i="5"/>
  <c r="M50" i="5" s="1"/>
  <c r="P50" i="5" s="1"/>
  <c r="H50" i="5"/>
  <c r="G50" i="5"/>
  <c r="F50" i="5"/>
  <c r="N49" i="5"/>
  <c r="L49" i="5"/>
  <c r="M49" i="5" s="1"/>
  <c r="P49" i="5" s="1"/>
  <c r="H49" i="5"/>
  <c r="G49" i="5"/>
  <c r="F49" i="5"/>
  <c r="P48" i="5"/>
  <c r="N48" i="5"/>
  <c r="L48" i="5"/>
  <c r="M48" i="5" s="1"/>
  <c r="H48" i="5"/>
  <c r="X48" i="5" s="1"/>
  <c r="G48" i="5"/>
  <c r="F48" i="5"/>
  <c r="N47" i="5"/>
  <c r="L47" i="5"/>
  <c r="M47" i="5" s="1"/>
  <c r="H47" i="5"/>
  <c r="G47" i="5"/>
  <c r="F47" i="5"/>
  <c r="N46" i="5"/>
  <c r="L46" i="5"/>
  <c r="M46" i="5" s="1"/>
  <c r="P46" i="5" s="1"/>
  <c r="H46" i="5"/>
  <c r="Y46" i="5" s="1"/>
  <c r="G46" i="5"/>
  <c r="F46" i="5"/>
  <c r="N45" i="5"/>
  <c r="L45" i="5"/>
  <c r="M45" i="5" s="1"/>
  <c r="P45" i="5" s="1"/>
  <c r="H45" i="5"/>
  <c r="G45" i="5"/>
  <c r="F45" i="5"/>
  <c r="P44" i="5"/>
  <c r="N44" i="5"/>
  <c r="L44" i="5"/>
  <c r="M44" i="5" s="1"/>
  <c r="H44" i="5"/>
  <c r="G44" i="5"/>
  <c r="F44" i="5"/>
  <c r="N43" i="5"/>
  <c r="L43" i="5"/>
  <c r="M43" i="5" s="1"/>
  <c r="H43" i="5"/>
  <c r="G43" i="5"/>
  <c r="F43" i="5"/>
  <c r="N42" i="5"/>
  <c r="L42" i="5"/>
  <c r="M42" i="5" s="1"/>
  <c r="P42" i="5" s="1"/>
  <c r="H42" i="5"/>
  <c r="G42" i="5"/>
  <c r="F42" i="5"/>
  <c r="N41" i="5"/>
  <c r="L41" i="5"/>
  <c r="M41" i="5" s="1"/>
  <c r="P41" i="5" s="1"/>
  <c r="H41" i="5"/>
  <c r="G41" i="5"/>
  <c r="F41" i="5"/>
  <c r="N40" i="5"/>
  <c r="L40" i="5"/>
  <c r="M40" i="5" s="1"/>
  <c r="P40" i="5" s="1"/>
  <c r="H40" i="5"/>
  <c r="X40" i="5" s="1"/>
  <c r="G40" i="5"/>
  <c r="F40" i="5"/>
  <c r="N39" i="5"/>
  <c r="M39" i="5"/>
  <c r="Y39" i="5" s="1"/>
  <c r="L39" i="5"/>
  <c r="AD39" i="5" s="1"/>
  <c r="H39" i="5"/>
  <c r="G39" i="5"/>
  <c r="F39" i="5"/>
  <c r="N38" i="5"/>
  <c r="L38" i="5"/>
  <c r="H38" i="5"/>
  <c r="G38" i="5"/>
  <c r="F38" i="5"/>
  <c r="N37" i="5"/>
  <c r="L37" i="5"/>
  <c r="AD37" i="5" s="1"/>
  <c r="H37" i="5"/>
  <c r="G37" i="5"/>
  <c r="F37" i="5"/>
  <c r="N36" i="5"/>
  <c r="L36" i="5"/>
  <c r="H36" i="5"/>
  <c r="G36" i="5"/>
  <c r="F36" i="5"/>
  <c r="N35" i="5"/>
  <c r="M35" i="5"/>
  <c r="Y35" i="5" s="1"/>
  <c r="L35" i="5"/>
  <c r="AD35" i="5" s="1"/>
  <c r="H35" i="5"/>
  <c r="G35" i="5"/>
  <c r="F35" i="5"/>
  <c r="N34" i="5"/>
  <c r="L34" i="5"/>
  <c r="H34" i="5"/>
  <c r="G34" i="5"/>
  <c r="F34" i="5"/>
  <c r="N33" i="5"/>
  <c r="L33" i="5"/>
  <c r="AD33" i="5" s="1"/>
  <c r="H33" i="5"/>
  <c r="G33" i="5"/>
  <c r="F33" i="5"/>
  <c r="N32" i="5"/>
  <c r="L32" i="5"/>
  <c r="H32" i="5"/>
  <c r="G32" i="5"/>
  <c r="F32" i="5"/>
  <c r="N31" i="5"/>
  <c r="M31" i="5"/>
  <c r="Y31" i="5" s="1"/>
  <c r="L31" i="5"/>
  <c r="AD31" i="5" s="1"/>
  <c r="H31" i="5"/>
  <c r="G31" i="5"/>
  <c r="F31" i="5"/>
  <c r="N30" i="5"/>
  <c r="L30" i="5"/>
  <c r="H30" i="5"/>
  <c r="G30" i="5"/>
  <c r="F30" i="5"/>
  <c r="N29" i="5"/>
  <c r="L29" i="5"/>
  <c r="H29" i="5"/>
  <c r="G29" i="5"/>
  <c r="F29" i="5"/>
  <c r="N28" i="5"/>
  <c r="M28" i="5"/>
  <c r="Q28" i="5" s="1"/>
  <c r="L28" i="5"/>
  <c r="AD28" i="5" s="1"/>
  <c r="H28" i="5"/>
  <c r="G28" i="5"/>
  <c r="F28" i="5"/>
  <c r="N27" i="5"/>
  <c r="L27" i="5"/>
  <c r="H27" i="5"/>
  <c r="G27" i="5"/>
  <c r="F27" i="5"/>
  <c r="N26" i="5"/>
  <c r="L26" i="5"/>
  <c r="M26" i="5" s="1"/>
  <c r="H26" i="5"/>
  <c r="G26" i="5"/>
  <c r="F26" i="5"/>
  <c r="N25" i="5"/>
  <c r="L25" i="5"/>
  <c r="AD25" i="5" s="1"/>
  <c r="H25" i="5"/>
  <c r="G25" i="5"/>
  <c r="F25" i="5"/>
  <c r="N24" i="5"/>
  <c r="L24" i="5"/>
  <c r="H24" i="5"/>
  <c r="G24" i="5"/>
  <c r="F24" i="5"/>
  <c r="O104" i="6"/>
  <c r="P104" i="6" s="1"/>
  <c r="Q104" i="6" s="1"/>
  <c r="Q103" i="6"/>
  <c r="P103" i="6"/>
  <c r="O103" i="6"/>
  <c r="P102" i="6"/>
  <c r="Q102" i="6" s="1"/>
  <c r="O102" i="6"/>
  <c r="O101" i="6"/>
  <c r="P101" i="6" s="1"/>
  <c r="Q101" i="6" s="1"/>
  <c r="O100" i="6"/>
  <c r="P100" i="6" s="1"/>
  <c r="Q100" i="6" s="1"/>
  <c r="Q99" i="6"/>
  <c r="P99" i="6"/>
  <c r="O99" i="6"/>
  <c r="P98" i="6"/>
  <c r="Q98" i="6" s="1"/>
  <c r="O98" i="6"/>
  <c r="O97" i="6"/>
  <c r="P97" i="6" s="1"/>
  <c r="Q97" i="6" s="1"/>
  <c r="O96" i="6"/>
  <c r="P96" i="6" s="1"/>
  <c r="Q96" i="6" s="1"/>
  <c r="Q95" i="6"/>
  <c r="P95" i="6"/>
  <c r="O95" i="6"/>
  <c r="P94" i="6"/>
  <c r="Q94" i="6" s="1"/>
  <c r="O94" i="6"/>
  <c r="O93" i="6"/>
  <c r="P93" i="6" s="1"/>
  <c r="Q93" i="6" s="1"/>
  <c r="O92" i="6"/>
  <c r="P92" i="6" s="1"/>
  <c r="Q92" i="6" s="1"/>
  <c r="Q91" i="6"/>
  <c r="P91" i="6"/>
  <c r="O91" i="6"/>
  <c r="P90" i="6"/>
  <c r="Q90" i="6" s="1"/>
  <c r="O90" i="6"/>
  <c r="O89" i="6"/>
  <c r="P89" i="6" s="1"/>
  <c r="Q89" i="6" s="1"/>
  <c r="O88" i="6"/>
  <c r="P88" i="6" s="1"/>
  <c r="Q88" i="6" s="1"/>
  <c r="Q87" i="6"/>
  <c r="P87" i="6"/>
  <c r="O87" i="6"/>
  <c r="P86" i="6"/>
  <c r="Q86" i="6" s="1"/>
  <c r="O86" i="6"/>
  <c r="O85" i="6"/>
  <c r="P85" i="6" s="1"/>
  <c r="Q85" i="6" s="1"/>
  <c r="O84" i="6"/>
  <c r="P84" i="6" s="1"/>
  <c r="Q84" i="6" s="1"/>
  <c r="Q83" i="6"/>
  <c r="P83" i="6"/>
  <c r="O83" i="6"/>
  <c r="P82" i="6"/>
  <c r="Q82" i="6" s="1"/>
  <c r="O82" i="6"/>
  <c r="O81" i="6"/>
  <c r="P81" i="6" s="1"/>
  <c r="Q81" i="6" s="1"/>
  <c r="O80" i="6"/>
  <c r="P80" i="6" s="1"/>
  <c r="Q80" i="6" s="1"/>
  <c r="Q79" i="6"/>
  <c r="P79" i="6"/>
  <c r="O79" i="6"/>
  <c r="P78" i="6"/>
  <c r="Q78" i="6" s="1"/>
  <c r="O78" i="6"/>
  <c r="O77" i="6"/>
  <c r="P77" i="6" s="1"/>
  <c r="Q77" i="6" s="1"/>
  <c r="O76" i="6"/>
  <c r="P76" i="6" s="1"/>
  <c r="Q76" i="6" s="1"/>
  <c r="Q75" i="6"/>
  <c r="P75" i="6"/>
  <c r="O75" i="6"/>
  <c r="P74" i="6"/>
  <c r="Q74" i="6" s="1"/>
  <c r="O74" i="6"/>
  <c r="O73" i="6"/>
  <c r="P73" i="6" s="1"/>
  <c r="Q73" i="6" s="1"/>
  <c r="O72" i="6"/>
  <c r="P72" i="6" s="1"/>
  <c r="Q72" i="6" s="1"/>
  <c r="Q71" i="6"/>
  <c r="P71" i="6"/>
  <c r="O71" i="6"/>
  <c r="P70" i="6"/>
  <c r="Q70" i="6" s="1"/>
  <c r="O70" i="6"/>
  <c r="O69" i="6"/>
  <c r="P69" i="6" s="1"/>
  <c r="Q69" i="6" s="1"/>
  <c r="O68" i="6"/>
  <c r="P68" i="6" s="1"/>
  <c r="Q68" i="6" s="1"/>
  <c r="Q67" i="6"/>
  <c r="P67" i="6"/>
  <c r="O67" i="6"/>
  <c r="P66" i="6"/>
  <c r="Q66" i="6" s="1"/>
  <c r="O66" i="6"/>
  <c r="O65" i="6"/>
  <c r="P65" i="6" s="1"/>
  <c r="Q65" i="6" s="1"/>
  <c r="O64" i="6"/>
  <c r="P64" i="6" s="1"/>
  <c r="Q64" i="6" s="1"/>
  <c r="Q63" i="6"/>
  <c r="P63" i="6"/>
  <c r="O63" i="6"/>
  <c r="P62" i="6"/>
  <c r="Q62" i="6" s="1"/>
  <c r="O62" i="6"/>
  <c r="O61" i="6"/>
  <c r="P61" i="6" s="1"/>
  <c r="Q61" i="6" s="1"/>
  <c r="O60" i="6"/>
  <c r="P60" i="6" s="1"/>
  <c r="Q60" i="6" s="1"/>
  <c r="Q59" i="6"/>
  <c r="P59" i="6"/>
  <c r="O59" i="6"/>
  <c r="P58" i="6"/>
  <c r="Q58" i="6" s="1"/>
  <c r="O58" i="6"/>
  <c r="O57" i="6"/>
  <c r="P57" i="6" s="1"/>
  <c r="Q57" i="6" s="1"/>
  <c r="O56" i="6"/>
  <c r="P56" i="6" s="1"/>
  <c r="Q56" i="6" s="1"/>
  <c r="Q55" i="6"/>
  <c r="P55" i="6"/>
  <c r="O55" i="6"/>
  <c r="P54" i="6"/>
  <c r="Q54" i="6" s="1"/>
  <c r="O54" i="6"/>
  <c r="O53" i="6"/>
  <c r="P53" i="6" s="1"/>
  <c r="Q53" i="6" s="1"/>
  <c r="O52" i="6"/>
  <c r="P52" i="6" s="1"/>
  <c r="Q52" i="6" s="1"/>
  <c r="Q51" i="6"/>
  <c r="P51" i="6"/>
  <c r="O51" i="6"/>
  <c r="P50" i="6"/>
  <c r="Q50" i="6" s="1"/>
  <c r="O50" i="6"/>
  <c r="O49" i="6"/>
  <c r="P49" i="6" s="1"/>
  <c r="Q49" i="6" s="1"/>
  <c r="O48" i="6"/>
  <c r="P48" i="6" s="1"/>
  <c r="Q48" i="6" s="1"/>
  <c r="Q47" i="6"/>
  <c r="P47" i="6"/>
  <c r="O47" i="6"/>
  <c r="P46" i="6"/>
  <c r="Q46" i="6" s="1"/>
  <c r="O46" i="6"/>
  <c r="O45" i="6"/>
  <c r="P45" i="6" s="1"/>
  <c r="Q45" i="6" s="1"/>
  <c r="O44" i="6"/>
  <c r="P44" i="6" s="1"/>
  <c r="Q44" i="6" s="1"/>
  <c r="Q43" i="6"/>
  <c r="P43" i="6"/>
  <c r="O43" i="6"/>
  <c r="P42" i="6"/>
  <c r="Q42" i="6" s="1"/>
  <c r="O42" i="6"/>
  <c r="O41" i="6"/>
  <c r="P41" i="6" s="1"/>
  <c r="Q41" i="6" s="1"/>
  <c r="O40" i="6"/>
  <c r="P40" i="6" s="1"/>
  <c r="Q40" i="6" s="1"/>
  <c r="Q39" i="6"/>
  <c r="P39" i="6"/>
  <c r="O39" i="6"/>
  <c r="P38" i="6"/>
  <c r="Q38" i="6" s="1"/>
  <c r="O38" i="6"/>
  <c r="O37" i="6"/>
  <c r="P37" i="6" s="1"/>
  <c r="Q37" i="6" s="1"/>
  <c r="O36" i="6"/>
  <c r="P36" i="6" s="1"/>
  <c r="Q36" i="6" s="1"/>
  <c r="Q35" i="6"/>
  <c r="P35" i="6"/>
  <c r="O35" i="6"/>
  <c r="P34" i="6"/>
  <c r="Q34" i="6" s="1"/>
  <c r="O34" i="6"/>
  <c r="O33" i="6"/>
  <c r="P33" i="6" s="1"/>
  <c r="Q33" i="6" s="1"/>
  <c r="O32" i="6"/>
  <c r="P32" i="6" s="1"/>
  <c r="Q32" i="6" s="1"/>
  <c r="Q31" i="6"/>
  <c r="P31" i="6"/>
  <c r="O31" i="6"/>
  <c r="P30" i="6"/>
  <c r="Q30" i="6" s="1"/>
  <c r="O30" i="6"/>
  <c r="O29" i="6"/>
  <c r="P29" i="6" s="1"/>
  <c r="Q29" i="6" s="1"/>
  <c r="O28" i="6"/>
  <c r="P28" i="6" s="1"/>
  <c r="Q28" i="6" s="1"/>
  <c r="Q27" i="6"/>
  <c r="P27" i="6"/>
  <c r="O27" i="6"/>
  <c r="P26" i="6"/>
  <c r="Q26" i="6" s="1"/>
  <c r="O26" i="6"/>
  <c r="O25" i="6"/>
  <c r="P25" i="6" s="1"/>
  <c r="Q25" i="6" s="1"/>
  <c r="O24" i="6"/>
  <c r="P24" i="6" s="1"/>
  <c r="Q24" i="6" s="1"/>
  <c r="Q23" i="6"/>
  <c r="P23" i="6"/>
  <c r="O23" i="6"/>
  <c r="P22" i="6"/>
  <c r="Q22" i="6" s="1"/>
  <c r="O22" i="6"/>
  <c r="O21" i="6"/>
  <c r="P21" i="6" s="1"/>
  <c r="Q21" i="6" s="1"/>
  <c r="O20" i="6"/>
  <c r="P20" i="6" s="1"/>
  <c r="Q20" i="6" s="1"/>
  <c r="Q19" i="6"/>
  <c r="P19" i="6"/>
  <c r="O19" i="6"/>
  <c r="P18" i="6"/>
  <c r="Q18" i="6" s="1"/>
  <c r="O18" i="6"/>
  <c r="O17" i="6"/>
  <c r="P17" i="6" s="1"/>
  <c r="Q17" i="6" s="1"/>
  <c r="O16" i="6"/>
  <c r="P16" i="6" s="1"/>
  <c r="Q16" i="6" s="1"/>
  <c r="Q15" i="6"/>
  <c r="P15" i="6"/>
  <c r="O15" i="6"/>
  <c r="P14" i="6"/>
  <c r="Q14" i="6" s="1"/>
  <c r="O14" i="6"/>
  <c r="O13" i="6"/>
  <c r="P13" i="6" s="1"/>
  <c r="Q13" i="6" s="1"/>
  <c r="O12" i="6"/>
  <c r="P12" i="6" s="1"/>
  <c r="Q12" i="6" s="1"/>
  <c r="Q11" i="6"/>
  <c r="P11" i="6"/>
  <c r="O11" i="6"/>
  <c r="P10" i="6"/>
  <c r="Q10" i="6" s="1"/>
  <c r="O10" i="6"/>
  <c r="O9" i="6"/>
  <c r="P9" i="6" s="1"/>
  <c r="Q9" i="6" s="1"/>
  <c r="O8" i="6"/>
  <c r="P8" i="6" s="1"/>
  <c r="Q8" i="6" s="1"/>
  <c r="M106" i="6"/>
  <c r="L106" i="6"/>
  <c r="K106" i="6"/>
  <c r="J106" i="6"/>
  <c r="I106" i="6"/>
  <c r="H106" i="6"/>
  <c r="G106" i="6"/>
  <c r="D106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N104" i="6"/>
  <c r="G104" i="6"/>
  <c r="I104" i="6" s="1"/>
  <c r="N103" i="6"/>
  <c r="G103" i="6"/>
  <c r="I103" i="6" s="1"/>
  <c r="N102" i="6"/>
  <c r="G102" i="6"/>
  <c r="I102" i="6" s="1"/>
  <c r="N101" i="6"/>
  <c r="G101" i="6"/>
  <c r="I101" i="6" s="1"/>
  <c r="N100" i="6"/>
  <c r="G100" i="6"/>
  <c r="I100" i="6" s="1"/>
  <c r="N99" i="6"/>
  <c r="G99" i="6"/>
  <c r="I99" i="6" s="1"/>
  <c r="N98" i="6"/>
  <c r="G98" i="6"/>
  <c r="I98" i="6" s="1"/>
  <c r="N97" i="6"/>
  <c r="G97" i="6"/>
  <c r="I97" i="6" s="1"/>
  <c r="N96" i="6"/>
  <c r="G96" i="6"/>
  <c r="I96" i="6" s="1"/>
  <c r="N95" i="6"/>
  <c r="G95" i="6"/>
  <c r="I95" i="6" s="1"/>
  <c r="N94" i="6"/>
  <c r="G94" i="6"/>
  <c r="I94" i="6" s="1"/>
  <c r="N93" i="6"/>
  <c r="G93" i="6"/>
  <c r="I93" i="6" s="1"/>
  <c r="N92" i="6"/>
  <c r="G92" i="6"/>
  <c r="I92" i="6" s="1"/>
  <c r="N91" i="6"/>
  <c r="G91" i="6"/>
  <c r="I91" i="6" s="1"/>
  <c r="N90" i="6"/>
  <c r="G90" i="6"/>
  <c r="I90" i="6" s="1"/>
  <c r="N89" i="6"/>
  <c r="G89" i="6"/>
  <c r="I89" i="6" s="1"/>
  <c r="N88" i="6"/>
  <c r="G88" i="6"/>
  <c r="I88" i="6" s="1"/>
  <c r="N87" i="6"/>
  <c r="G87" i="6"/>
  <c r="I87" i="6" s="1"/>
  <c r="N86" i="6"/>
  <c r="G86" i="6"/>
  <c r="I86" i="6" s="1"/>
  <c r="N85" i="6"/>
  <c r="G85" i="6"/>
  <c r="I85" i="6" s="1"/>
  <c r="N84" i="6"/>
  <c r="G84" i="6"/>
  <c r="I84" i="6" s="1"/>
  <c r="N83" i="6"/>
  <c r="G83" i="6"/>
  <c r="I83" i="6" s="1"/>
  <c r="N82" i="6"/>
  <c r="G82" i="6"/>
  <c r="I82" i="6" s="1"/>
  <c r="N81" i="6"/>
  <c r="G81" i="6"/>
  <c r="I81" i="6" s="1"/>
  <c r="N80" i="6"/>
  <c r="G80" i="6"/>
  <c r="I80" i="6" s="1"/>
  <c r="N79" i="6"/>
  <c r="G79" i="6"/>
  <c r="I79" i="6" s="1"/>
  <c r="N78" i="6"/>
  <c r="G78" i="6"/>
  <c r="I78" i="6" s="1"/>
  <c r="N77" i="6"/>
  <c r="G77" i="6"/>
  <c r="I77" i="6" s="1"/>
  <c r="N76" i="6"/>
  <c r="G76" i="6"/>
  <c r="I76" i="6" s="1"/>
  <c r="N75" i="6"/>
  <c r="G75" i="6"/>
  <c r="I75" i="6" s="1"/>
  <c r="N74" i="6"/>
  <c r="G74" i="6"/>
  <c r="I74" i="6" s="1"/>
  <c r="N73" i="6"/>
  <c r="G73" i="6"/>
  <c r="I73" i="6" s="1"/>
  <c r="N72" i="6"/>
  <c r="G72" i="6"/>
  <c r="I72" i="6" s="1"/>
  <c r="N71" i="6"/>
  <c r="G71" i="6"/>
  <c r="I71" i="6" s="1"/>
  <c r="N70" i="6"/>
  <c r="G70" i="6"/>
  <c r="N69" i="6"/>
  <c r="G69" i="6"/>
  <c r="N68" i="6"/>
  <c r="G68" i="6"/>
  <c r="N67" i="6"/>
  <c r="G67" i="6"/>
  <c r="N66" i="6"/>
  <c r="G66" i="6"/>
  <c r="N65" i="6"/>
  <c r="I65" i="6"/>
  <c r="K65" i="6" s="1"/>
  <c r="G65" i="6"/>
  <c r="H65" i="6" s="1"/>
  <c r="N64" i="6"/>
  <c r="G64" i="6"/>
  <c r="H64" i="6" s="1"/>
  <c r="N63" i="6"/>
  <c r="I63" i="6"/>
  <c r="K63" i="6" s="1"/>
  <c r="M63" i="6" s="1"/>
  <c r="G63" i="6"/>
  <c r="H63" i="6" s="1"/>
  <c r="N62" i="6"/>
  <c r="G62" i="6"/>
  <c r="N61" i="6"/>
  <c r="G61" i="6"/>
  <c r="N60" i="6"/>
  <c r="G60" i="6"/>
  <c r="N59" i="6"/>
  <c r="G59" i="6"/>
  <c r="N58" i="6"/>
  <c r="G58" i="6"/>
  <c r="N57" i="6"/>
  <c r="G57" i="6"/>
  <c r="N56" i="6"/>
  <c r="G56" i="6"/>
  <c r="N55" i="6"/>
  <c r="G55" i="6"/>
  <c r="N54" i="6"/>
  <c r="G54" i="6"/>
  <c r="N53" i="6"/>
  <c r="G53" i="6"/>
  <c r="N52" i="6"/>
  <c r="G52" i="6"/>
  <c r="N51" i="6"/>
  <c r="G51" i="6"/>
  <c r="N50" i="6"/>
  <c r="G50" i="6"/>
  <c r="N49" i="6"/>
  <c r="G49" i="6"/>
  <c r="N48" i="6"/>
  <c r="G48" i="6"/>
  <c r="N47" i="6"/>
  <c r="G47" i="6"/>
  <c r="N46" i="6"/>
  <c r="G46" i="6"/>
  <c r="N45" i="6"/>
  <c r="G45" i="6"/>
  <c r="N44" i="6"/>
  <c r="G44" i="6"/>
  <c r="N43" i="6"/>
  <c r="G43" i="6"/>
  <c r="N42" i="6"/>
  <c r="G42" i="6"/>
  <c r="N41" i="6"/>
  <c r="G41" i="6"/>
  <c r="N40" i="6"/>
  <c r="G40" i="6"/>
  <c r="N39" i="6"/>
  <c r="G39" i="6"/>
  <c r="N38" i="6"/>
  <c r="G38" i="6"/>
  <c r="N37" i="6"/>
  <c r="G37" i="6"/>
  <c r="N36" i="6"/>
  <c r="G36" i="6"/>
  <c r="N35" i="6"/>
  <c r="G35" i="6"/>
  <c r="N34" i="6"/>
  <c r="G34" i="6"/>
  <c r="N33" i="6"/>
  <c r="G33" i="6"/>
  <c r="N32" i="6"/>
  <c r="G32" i="6"/>
  <c r="N31" i="6"/>
  <c r="G31" i="6"/>
  <c r="N30" i="6"/>
  <c r="G30" i="6"/>
  <c r="N29" i="6"/>
  <c r="G29" i="6"/>
  <c r="N28" i="6"/>
  <c r="G28" i="6"/>
  <c r="N27" i="6"/>
  <c r="G27" i="6"/>
  <c r="N26" i="6"/>
  <c r="G26" i="6"/>
  <c r="G25" i="6"/>
  <c r="N24" i="6"/>
  <c r="G24" i="6"/>
  <c r="H24" i="6" s="1"/>
  <c r="N23" i="6"/>
  <c r="G23" i="6"/>
  <c r="H23" i="6" s="1"/>
  <c r="M37" i="5" l="1"/>
  <c r="Y37" i="5" s="1"/>
  <c r="X44" i="5"/>
  <c r="AD97" i="5"/>
  <c r="Q99" i="5"/>
  <c r="T104" i="5"/>
  <c r="M33" i="5"/>
  <c r="Y33" i="5" s="1"/>
  <c r="Y42" i="5"/>
  <c r="T102" i="5"/>
  <c r="X104" i="5"/>
  <c r="I50" i="11"/>
  <c r="H62" i="11"/>
  <c r="K62" i="11" s="1"/>
  <c r="M62" i="11" s="1"/>
  <c r="I26" i="11"/>
  <c r="K26" i="11" s="1"/>
  <c r="M26" i="11" s="1"/>
  <c r="H66" i="11"/>
  <c r="I42" i="11"/>
  <c r="I34" i="11"/>
  <c r="K34" i="11" s="1"/>
  <c r="M34" i="11" s="1"/>
  <c r="I70" i="11"/>
  <c r="K70" i="11" s="1"/>
  <c r="M70" i="11" s="1"/>
  <c r="K50" i="11"/>
  <c r="M50" i="11" s="1"/>
  <c r="K42" i="11"/>
  <c r="M42" i="11" s="1"/>
  <c r="K66" i="11"/>
  <c r="M66" i="11" s="1"/>
  <c r="I24" i="11"/>
  <c r="H24" i="11"/>
  <c r="H25" i="11"/>
  <c r="I25" i="11"/>
  <c r="I35" i="11"/>
  <c r="H35" i="11"/>
  <c r="I44" i="11"/>
  <c r="H44" i="11"/>
  <c r="H45" i="11"/>
  <c r="I45" i="11"/>
  <c r="I47" i="11"/>
  <c r="H47" i="11"/>
  <c r="I27" i="11"/>
  <c r="H27" i="11"/>
  <c r="I36" i="11"/>
  <c r="H36" i="11"/>
  <c r="H37" i="11"/>
  <c r="I37" i="11"/>
  <c r="I39" i="11"/>
  <c r="H39" i="11"/>
  <c r="I48" i="11"/>
  <c r="H48" i="11"/>
  <c r="H49" i="11"/>
  <c r="I49" i="11"/>
  <c r="H59" i="11"/>
  <c r="I59" i="11"/>
  <c r="I23" i="11"/>
  <c r="H23" i="11"/>
  <c r="I28" i="11"/>
  <c r="H28" i="11"/>
  <c r="H29" i="11"/>
  <c r="I29" i="11"/>
  <c r="I31" i="11"/>
  <c r="H31" i="11"/>
  <c r="I40" i="11"/>
  <c r="H40" i="11"/>
  <c r="H41" i="11"/>
  <c r="I41" i="11"/>
  <c r="I51" i="11"/>
  <c r="H51" i="11"/>
  <c r="I32" i="11"/>
  <c r="H32" i="11"/>
  <c r="K32" i="11" s="1"/>
  <c r="M32" i="11" s="1"/>
  <c r="H33" i="11"/>
  <c r="I33" i="11"/>
  <c r="I43" i="11"/>
  <c r="H43" i="11"/>
  <c r="I52" i="11"/>
  <c r="H52" i="11"/>
  <c r="H53" i="11"/>
  <c r="I53" i="11"/>
  <c r="J53" i="11" s="1"/>
  <c r="H63" i="11"/>
  <c r="I63" i="11"/>
  <c r="J42" i="11"/>
  <c r="L42" i="11" s="1"/>
  <c r="J50" i="11"/>
  <c r="L50" i="11" s="1"/>
  <c r="H57" i="11"/>
  <c r="I60" i="11"/>
  <c r="H60" i="11"/>
  <c r="H65" i="11"/>
  <c r="I65" i="11"/>
  <c r="I72" i="11"/>
  <c r="H72" i="11"/>
  <c r="H98" i="11"/>
  <c r="I98" i="11"/>
  <c r="H30" i="11"/>
  <c r="H86" i="11"/>
  <c r="I86" i="11"/>
  <c r="I30" i="11"/>
  <c r="I38" i="11"/>
  <c r="I46" i="11"/>
  <c r="I54" i="11"/>
  <c r="I68" i="11"/>
  <c r="H68" i="11"/>
  <c r="H78" i="11"/>
  <c r="I78" i="11"/>
  <c r="I81" i="11"/>
  <c r="H81" i="11"/>
  <c r="K81" i="11" s="1"/>
  <c r="M81" i="11" s="1"/>
  <c r="H90" i="11"/>
  <c r="I90" i="11"/>
  <c r="H102" i="11"/>
  <c r="I102" i="11"/>
  <c r="J102" i="11" s="1"/>
  <c r="J26" i="11"/>
  <c r="H55" i="11"/>
  <c r="I55" i="11"/>
  <c r="I80" i="11"/>
  <c r="H80" i="11"/>
  <c r="H95" i="11"/>
  <c r="I95" i="11"/>
  <c r="I103" i="11"/>
  <c r="H103" i="11"/>
  <c r="K103" i="11" s="1"/>
  <c r="M103" i="11" s="1"/>
  <c r="H38" i="11"/>
  <c r="H46" i="11"/>
  <c r="H54" i="11"/>
  <c r="K54" i="11" s="1"/>
  <c r="M54" i="11" s="1"/>
  <c r="I57" i="11"/>
  <c r="J57" i="11" s="1"/>
  <c r="H61" i="11"/>
  <c r="K61" i="11" s="1"/>
  <c r="M61" i="11" s="1"/>
  <c r="I64" i="11"/>
  <c r="H64" i="11"/>
  <c r="J70" i="11"/>
  <c r="H73" i="11"/>
  <c r="I73" i="11"/>
  <c r="I96" i="11"/>
  <c r="H96" i="11"/>
  <c r="K96" i="11" s="1"/>
  <c r="M96" i="11" s="1"/>
  <c r="I56" i="11"/>
  <c r="H56" i="11"/>
  <c r="H58" i="11"/>
  <c r="K58" i="11" s="1"/>
  <c r="M58" i="11" s="1"/>
  <c r="J62" i="11"/>
  <c r="H69" i="11"/>
  <c r="K69" i="11" s="1"/>
  <c r="M69" i="11" s="1"/>
  <c r="I71" i="11"/>
  <c r="H71" i="11"/>
  <c r="I75" i="11"/>
  <c r="H75" i="11"/>
  <c r="I79" i="11"/>
  <c r="H79" i="11"/>
  <c r="K79" i="11" s="1"/>
  <c r="M79" i="11" s="1"/>
  <c r="H82" i="11"/>
  <c r="I82" i="11"/>
  <c r="I87" i="11"/>
  <c r="H87" i="11"/>
  <c r="K87" i="11" s="1"/>
  <c r="M87" i="11" s="1"/>
  <c r="H94" i="11"/>
  <c r="I94" i="11"/>
  <c r="I97" i="11"/>
  <c r="H97" i="11"/>
  <c r="J66" i="11"/>
  <c r="L66" i="11" s="1"/>
  <c r="I77" i="11"/>
  <c r="H77" i="11"/>
  <c r="H92" i="11"/>
  <c r="K92" i="11" s="1"/>
  <c r="M92" i="11" s="1"/>
  <c r="H67" i="11"/>
  <c r="K67" i="11" s="1"/>
  <c r="M67" i="11" s="1"/>
  <c r="H74" i="11"/>
  <c r="K74" i="11" s="1"/>
  <c r="M74" i="11" s="1"/>
  <c r="H83" i="11"/>
  <c r="H84" i="11"/>
  <c r="K84" i="11" s="1"/>
  <c r="M84" i="11" s="1"/>
  <c r="I89" i="11"/>
  <c r="I92" i="11"/>
  <c r="H99" i="11"/>
  <c r="H100" i="11"/>
  <c r="K100" i="11" s="1"/>
  <c r="M100" i="11" s="1"/>
  <c r="H76" i="11"/>
  <c r="K76" i="11" s="1"/>
  <c r="M76" i="11" s="1"/>
  <c r="I93" i="11"/>
  <c r="H93" i="11"/>
  <c r="I83" i="11"/>
  <c r="H85" i="11"/>
  <c r="K85" i="11" s="1"/>
  <c r="M85" i="11" s="1"/>
  <c r="H88" i="11"/>
  <c r="K88" i="11" s="1"/>
  <c r="M88" i="11" s="1"/>
  <c r="H89" i="11"/>
  <c r="H91" i="11"/>
  <c r="K91" i="11" s="1"/>
  <c r="M91" i="11" s="1"/>
  <c r="I99" i="11"/>
  <c r="H101" i="11"/>
  <c r="K101" i="11" s="1"/>
  <c r="M101" i="11" s="1"/>
  <c r="H104" i="11"/>
  <c r="K104" i="11" s="1"/>
  <c r="M104" i="11" s="1"/>
  <c r="T56" i="13"/>
  <c r="AD63" i="13"/>
  <c r="R28" i="13"/>
  <c r="P35" i="13"/>
  <c r="S49" i="13"/>
  <c r="Y27" i="13"/>
  <c r="AD41" i="13"/>
  <c r="Y49" i="13"/>
  <c r="Y52" i="13"/>
  <c r="AD71" i="13"/>
  <c r="AD77" i="13"/>
  <c r="AD84" i="13"/>
  <c r="AD99" i="13"/>
  <c r="Y31" i="13"/>
  <c r="AD35" i="13"/>
  <c r="AD55" i="13"/>
  <c r="M59" i="13"/>
  <c r="Q59" i="13" s="1"/>
  <c r="AD66" i="13"/>
  <c r="M91" i="13"/>
  <c r="Q91" i="13" s="1"/>
  <c r="X92" i="13"/>
  <c r="AD67" i="13"/>
  <c r="AD29" i="13"/>
  <c r="AD48" i="13"/>
  <c r="AD54" i="13"/>
  <c r="AD70" i="13"/>
  <c r="AD76" i="13"/>
  <c r="R29" i="13"/>
  <c r="Q29" i="13"/>
  <c r="Q94" i="13"/>
  <c r="W94" i="13"/>
  <c r="Q97" i="13"/>
  <c r="R97" i="13"/>
  <c r="Q96" i="13"/>
  <c r="W96" i="13"/>
  <c r="AD39" i="13"/>
  <c r="P47" i="13"/>
  <c r="Q66" i="13"/>
  <c r="Q70" i="13"/>
  <c r="X93" i="13"/>
  <c r="AD104" i="13"/>
  <c r="AD26" i="13"/>
  <c r="AD30" i="13"/>
  <c r="X42" i="13"/>
  <c r="AD45" i="13"/>
  <c r="AD94" i="13"/>
  <c r="X97" i="13"/>
  <c r="Q104" i="13"/>
  <c r="R104" i="13"/>
  <c r="W104" i="13"/>
  <c r="O104" i="13"/>
  <c r="S104" i="13"/>
  <c r="X104" i="13"/>
  <c r="P104" i="13"/>
  <c r="Y104" i="13"/>
  <c r="Q33" i="13"/>
  <c r="R33" i="13"/>
  <c r="W33" i="13"/>
  <c r="R50" i="13"/>
  <c r="P55" i="13"/>
  <c r="T55" i="13"/>
  <c r="Q82" i="13"/>
  <c r="W82" i="13"/>
  <c r="S82" i="13"/>
  <c r="R82" i="13"/>
  <c r="Q86" i="13"/>
  <c r="S86" i="13"/>
  <c r="R86" i="13"/>
  <c r="W86" i="13"/>
  <c r="Q25" i="13"/>
  <c r="W25" i="13"/>
  <c r="S25" i="13"/>
  <c r="R25" i="13"/>
  <c r="Q32" i="13"/>
  <c r="S32" i="13"/>
  <c r="R32" i="13"/>
  <c r="W32" i="13"/>
  <c r="Q41" i="13"/>
  <c r="W41" i="13"/>
  <c r="R41" i="13"/>
  <c r="Q80" i="13"/>
  <c r="W80" i="13"/>
  <c r="R80" i="13"/>
  <c r="S80" i="13"/>
  <c r="Q37" i="13"/>
  <c r="R37" i="13"/>
  <c r="W37" i="13"/>
  <c r="W58" i="13"/>
  <c r="R58" i="13"/>
  <c r="Q58" i="13"/>
  <c r="Q90" i="13"/>
  <c r="W90" i="13"/>
  <c r="R90" i="13"/>
  <c r="S90" i="13"/>
  <c r="Q100" i="13"/>
  <c r="S100" i="13"/>
  <c r="R100" i="13"/>
  <c r="W100" i="13"/>
  <c r="W54" i="13"/>
  <c r="AD64" i="13"/>
  <c r="M23" i="13"/>
  <c r="Y23" i="13" s="1"/>
  <c r="M34" i="13"/>
  <c r="Q34" i="13" s="1"/>
  <c r="M38" i="13"/>
  <c r="Y38" i="13" s="1"/>
  <c r="X47" i="13"/>
  <c r="AD52" i="13"/>
  <c r="R53" i="13"/>
  <c r="AD58" i="13"/>
  <c r="AD62" i="13"/>
  <c r="Q62" i="13"/>
  <c r="R66" i="13"/>
  <c r="X67" i="13"/>
  <c r="P67" i="13"/>
  <c r="P68" i="13"/>
  <c r="R70" i="13"/>
  <c r="X71" i="13"/>
  <c r="P71" i="13"/>
  <c r="R76" i="13"/>
  <c r="AD81" i="13"/>
  <c r="AD83" i="13"/>
  <c r="AD86" i="13"/>
  <c r="P88" i="13"/>
  <c r="R94" i="13"/>
  <c r="AD97" i="13"/>
  <c r="W97" i="13"/>
  <c r="AD98" i="13"/>
  <c r="P99" i="13"/>
  <c r="M101" i="13"/>
  <c r="P101" i="13" s="1"/>
  <c r="M102" i="13"/>
  <c r="Y102" i="13" s="1"/>
  <c r="X103" i="13"/>
  <c r="AD60" i="13"/>
  <c r="X24" i="13"/>
  <c r="W29" i="13"/>
  <c r="AD42" i="13"/>
  <c r="R45" i="13"/>
  <c r="X46" i="13"/>
  <c r="AD47" i="13"/>
  <c r="S53" i="13"/>
  <c r="Q54" i="13"/>
  <c r="P60" i="13"/>
  <c r="R62" i="13"/>
  <c r="X63" i="13"/>
  <c r="P63" i="13"/>
  <c r="P64" i="13"/>
  <c r="Y67" i="13"/>
  <c r="Y68" i="13"/>
  <c r="Y71" i="13"/>
  <c r="S76" i="13"/>
  <c r="X88" i="13"/>
  <c r="S94" i="13"/>
  <c r="AD95" i="13"/>
  <c r="R96" i="13"/>
  <c r="AD25" i="13"/>
  <c r="AD33" i="13"/>
  <c r="AD37" i="13"/>
  <c r="W45" i="13"/>
  <c r="AD46" i="13"/>
  <c r="W53" i="13"/>
  <c r="X55" i="13"/>
  <c r="Y60" i="13"/>
  <c r="T60" i="13"/>
  <c r="Y63" i="13"/>
  <c r="Y64" i="13"/>
  <c r="T64" i="13"/>
  <c r="AD68" i="13"/>
  <c r="AD73" i="13"/>
  <c r="W76" i="13"/>
  <c r="X79" i="13"/>
  <c r="AD80" i="13"/>
  <c r="AD87" i="13"/>
  <c r="AD90" i="13"/>
  <c r="S96" i="13"/>
  <c r="AD96" i="13"/>
  <c r="Y96" i="13"/>
  <c r="Y98" i="13"/>
  <c r="T98" i="13"/>
  <c r="P98" i="13"/>
  <c r="S98" i="13"/>
  <c r="W98" i="13"/>
  <c r="R98" i="13"/>
  <c r="X98" i="13"/>
  <c r="Q98" i="13"/>
  <c r="X99" i="13"/>
  <c r="S103" i="13"/>
  <c r="W103" i="13"/>
  <c r="R103" i="13"/>
  <c r="Y103" i="13"/>
  <c r="Q103" i="13"/>
  <c r="T103" i="13"/>
  <c r="P103" i="13"/>
  <c r="X96" i="13"/>
  <c r="AD100" i="13"/>
  <c r="Y100" i="13"/>
  <c r="X100" i="13"/>
  <c r="S99" i="13"/>
  <c r="W99" i="13"/>
  <c r="R99" i="13"/>
  <c r="Q99" i="13"/>
  <c r="Y99" i="13"/>
  <c r="AD103" i="13"/>
  <c r="P96" i="13"/>
  <c r="T96" i="13"/>
  <c r="S97" i="13"/>
  <c r="P100" i="13"/>
  <c r="T100" i="13"/>
  <c r="P97" i="13"/>
  <c r="T97" i="13"/>
  <c r="Y97" i="13"/>
  <c r="T102" i="13"/>
  <c r="S24" i="13"/>
  <c r="W24" i="13"/>
  <c r="R24" i="13"/>
  <c r="T24" i="13"/>
  <c r="Q24" i="13"/>
  <c r="Y24" i="13"/>
  <c r="P24" i="13"/>
  <c r="AD24" i="13"/>
  <c r="X25" i="13"/>
  <c r="W27" i="13"/>
  <c r="R27" i="13"/>
  <c r="Q27" i="13"/>
  <c r="S27" i="13"/>
  <c r="AD28" i="13"/>
  <c r="Y28" i="13"/>
  <c r="W31" i="13"/>
  <c r="R31" i="13"/>
  <c r="Q31" i="13"/>
  <c r="S31" i="13"/>
  <c r="AD32" i="13"/>
  <c r="Y32" i="13"/>
  <c r="X32" i="13"/>
  <c r="AD36" i="13"/>
  <c r="Y36" i="13"/>
  <c r="S43" i="13"/>
  <c r="W43" i="13"/>
  <c r="R43" i="13"/>
  <c r="Q43" i="13"/>
  <c r="Y43" i="13"/>
  <c r="W48" i="13"/>
  <c r="R48" i="13"/>
  <c r="P48" i="13"/>
  <c r="T48" i="13"/>
  <c r="Y48" i="13"/>
  <c r="S48" i="13"/>
  <c r="P25" i="13"/>
  <c r="T25" i="13"/>
  <c r="Y25" i="13"/>
  <c r="X26" i="13"/>
  <c r="P26" i="13"/>
  <c r="Y26" i="13"/>
  <c r="T27" i="13"/>
  <c r="AD27" i="13"/>
  <c r="Q28" i="13"/>
  <c r="T28" i="13"/>
  <c r="P28" i="13"/>
  <c r="S28" i="13"/>
  <c r="X30" i="13"/>
  <c r="P30" i="13"/>
  <c r="Y30" i="13"/>
  <c r="T31" i="13"/>
  <c r="AD31" i="13"/>
  <c r="X35" i="13"/>
  <c r="W36" i="13"/>
  <c r="R36" i="13"/>
  <c r="Q36" i="13"/>
  <c r="T36" i="13"/>
  <c r="P36" i="13"/>
  <c r="X36" i="13"/>
  <c r="P39" i="13"/>
  <c r="AD40" i="13"/>
  <c r="Y40" i="13"/>
  <c r="Y42" i="13"/>
  <c r="T42" i="13"/>
  <c r="P42" i="13"/>
  <c r="S42" i="13"/>
  <c r="W42" i="13"/>
  <c r="R42" i="13"/>
  <c r="AD43" i="13"/>
  <c r="S47" i="13"/>
  <c r="W47" i="13"/>
  <c r="R47" i="13"/>
  <c r="Q47" i="13"/>
  <c r="Y47" i="13"/>
  <c r="X56" i="13"/>
  <c r="AD56" i="13"/>
  <c r="Y56" i="13"/>
  <c r="X27" i="13"/>
  <c r="T29" i="13"/>
  <c r="P29" i="13"/>
  <c r="S29" i="13"/>
  <c r="X31" i="13"/>
  <c r="S35" i="13"/>
  <c r="W35" i="13"/>
  <c r="R35" i="13"/>
  <c r="Q35" i="13"/>
  <c r="Y35" i="13"/>
  <c r="X39" i="13"/>
  <c r="W40" i="13"/>
  <c r="R40" i="13"/>
  <c r="Q40" i="13"/>
  <c r="T40" i="13"/>
  <c r="P40" i="13"/>
  <c r="X40" i="13"/>
  <c r="P43" i="13"/>
  <c r="AD44" i="13"/>
  <c r="Y44" i="13"/>
  <c r="Y46" i="13"/>
  <c r="T46" i="13"/>
  <c r="P46" i="13"/>
  <c r="S46" i="13"/>
  <c r="W46" i="13"/>
  <c r="R46" i="13"/>
  <c r="Q48" i="13"/>
  <c r="Q57" i="13"/>
  <c r="T57" i="13"/>
  <c r="P57" i="13"/>
  <c r="R57" i="13"/>
  <c r="W57" i="13"/>
  <c r="Z57" i="13" s="1"/>
  <c r="AC57" i="13" s="1"/>
  <c r="S57" i="13"/>
  <c r="S26" i="13"/>
  <c r="W26" i="13"/>
  <c r="R26" i="13"/>
  <c r="T26" i="13"/>
  <c r="P27" i="13"/>
  <c r="X28" i="13"/>
  <c r="Z28" i="13" s="1"/>
  <c r="AC28" i="13" s="1"/>
  <c r="S30" i="13"/>
  <c r="W30" i="13"/>
  <c r="R30" i="13"/>
  <c r="T30" i="13"/>
  <c r="P31" i="13"/>
  <c r="S34" i="13"/>
  <c r="S39" i="13"/>
  <c r="W39" i="13"/>
  <c r="Z39" i="13" s="1"/>
  <c r="AC39" i="13" s="1"/>
  <c r="R39" i="13"/>
  <c r="Q39" i="13"/>
  <c r="Y39" i="13"/>
  <c r="X43" i="13"/>
  <c r="T43" i="13"/>
  <c r="W44" i="13"/>
  <c r="R44" i="13"/>
  <c r="Q44" i="13"/>
  <c r="T44" i="13"/>
  <c r="P44" i="13"/>
  <c r="X44" i="13"/>
  <c r="X48" i="13"/>
  <c r="X29" i="13"/>
  <c r="P32" i="13"/>
  <c r="T32" i="13"/>
  <c r="S33" i="13"/>
  <c r="X33" i="13"/>
  <c r="S37" i="13"/>
  <c r="X37" i="13"/>
  <c r="S41" i="13"/>
  <c r="X41" i="13"/>
  <c r="S45" i="13"/>
  <c r="X45" i="13"/>
  <c r="T49" i="13"/>
  <c r="T50" i="13"/>
  <c r="P50" i="13"/>
  <c r="W50" i="13"/>
  <c r="Q50" i="13"/>
  <c r="S50" i="13"/>
  <c r="W52" i="13"/>
  <c r="R52" i="13"/>
  <c r="Q52" i="13"/>
  <c r="P52" i="13"/>
  <c r="T52" i="13"/>
  <c r="Q61" i="13"/>
  <c r="T61" i="13"/>
  <c r="P61" i="13"/>
  <c r="R61" i="13"/>
  <c r="X61" i="13"/>
  <c r="W61" i="13"/>
  <c r="Q69" i="13"/>
  <c r="T69" i="13"/>
  <c r="P69" i="13"/>
  <c r="R69" i="13"/>
  <c r="X69" i="13"/>
  <c r="W69" i="13"/>
  <c r="AD75" i="13"/>
  <c r="Y75" i="13"/>
  <c r="X75" i="13"/>
  <c r="Y29" i="13"/>
  <c r="P33" i="13"/>
  <c r="T33" i="13"/>
  <c r="Y33" i="13"/>
  <c r="P37" i="13"/>
  <c r="T37" i="13"/>
  <c r="Y37" i="13"/>
  <c r="P41" i="13"/>
  <c r="T41" i="13"/>
  <c r="Y41" i="13"/>
  <c r="P45" i="13"/>
  <c r="T45" i="13"/>
  <c r="Y45" i="13"/>
  <c r="P49" i="13"/>
  <c r="W49" i="13"/>
  <c r="X52" i="13"/>
  <c r="AD53" i="13"/>
  <c r="Y53" i="13"/>
  <c r="X53" i="13"/>
  <c r="S55" i="13"/>
  <c r="W55" i="13"/>
  <c r="R55" i="13"/>
  <c r="Q55" i="13"/>
  <c r="Y55" i="13"/>
  <c r="Q72" i="13"/>
  <c r="T72" i="13"/>
  <c r="P72" i="13"/>
  <c r="R72" i="13"/>
  <c r="X72" i="13"/>
  <c r="W72" i="13"/>
  <c r="S72" i="13"/>
  <c r="R49" i="13"/>
  <c r="X49" i="13"/>
  <c r="AD49" i="13"/>
  <c r="AD50" i="13"/>
  <c r="Y50" i="13"/>
  <c r="X50" i="13"/>
  <c r="AD51" i="13"/>
  <c r="M51" i="13"/>
  <c r="X51" i="13" s="1"/>
  <c r="Q65" i="13"/>
  <c r="T65" i="13"/>
  <c r="P65" i="13"/>
  <c r="R65" i="13"/>
  <c r="X65" i="13"/>
  <c r="W65" i="13"/>
  <c r="T54" i="13"/>
  <c r="P54" i="13"/>
  <c r="S54" i="13"/>
  <c r="T58" i="13"/>
  <c r="P58" i="13"/>
  <c r="S58" i="13"/>
  <c r="X60" i="13"/>
  <c r="T62" i="13"/>
  <c r="P62" i="13"/>
  <c r="S62" i="13"/>
  <c r="X64" i="13"/>
  <c r="T66" i="13"/>
  <c r="P66" i="13"/>
  <c r="S66" i="13"/>
  <c r="X68" i="13"/>
  <c r="T70" i="13"/>
  <c r="P70" i="13"/>
  <c r="S70" i="13"/>
  <c r="W75" i="13"/>
  <c r="R75" i="13"/>
  <c r="Q75" i="13"/>
  <c r="T75" i="13"/>
  <c r="P75" i="13"/>
  <c r="R59" i="13"/>
  <c r="S63" i="13"/>
  <c r="W63" i="13"/>
  <c r="R63" i="13"/>
  <c r="T63" i="13"/>
  <c r="S67" i="13"/>
  <c r="W67" i="13"/>
  <c r="R67" i="13"/>
  <c r="T67" i="13"/>
  <c r="S71" i="13"/>
  <c r="W71" i="13"/>
  <c r="R71" i="13"/>
  <c r="T71" i="13"/>
  <c r="AD74" i="13"/>
  <c r="M74" i="13"/>
  <c r="T81" i="13"/>
  <c r="P81" i="13"/>
  <c r="S81" i="13"/>
  <c r="W81" i="13"/>
  <c r="R81" i="13"/>
  <c r="Q81" i="13"/>
  <c r="W56" i="13"/>
  <c r="R56" i="13"/>
  <c r="Q56" i="13"/>
  <c r="S56" i="13"/>
  <c r="AD57" i="13"/>
  <c r="Y57" i="13"/>
  <c r="W60" i="13"/>
  <c r="R60" i="13"/>
  <c r="Q60" i="13"/>
  <c r="S60" i="13"/>
  <c r="AD61" i="13"/>
  <c r="Y61" i="13"/>
  <c r="W64" i="13"/>
  <c r="R64" i="13"/>
  <c r="Q64" i="13"/>
  <c r="S64" i="13"/>
  <c r="AD65" i="13"/>
  <c r="Y65" i="13"/>
  <c r="W68" i="13"/>
  <c r="R68" i="13"/>
  <c r="Q68" i="13"/>
  <c r="S68" i="13"/>
  <c r="AD69" i="13"/>
  <c r="Y69" i="13"/>
  <c r="T73" i="13"/>
  <c r="P73" i="13"/>
  <c r="S73" i="13"/>
  <c r="Q73" i="13"/>
  <c r="W73" i="13"/>
  <c r="M78" i="13"/>
  <c r="AD78" i="13"/>
  <c r="W79" i="13"/>
  <c r="R79" i="13"/>
  <c r="Q79" i="13"/>
  <c r="T79" i="13"/>
  <c r="P79" i="13"/>
  <c r="S79" i="13"/>
  <c r="S84" i="13"/>
  <c r="W84" i="13"/>
  <c r="R84" i="13"/>
  <c r="Y84" i="13"/>
  <c r="T84" i="13"/>
  <c r="Q84" i="13"/>
  <c r="P84" i="13"/>
  <c r="AD89" i="13"/>
  <c r="Y89" i="13"/>
  <c r="X89" i="13"/>
  <c r="P53" i="13"/>
  <c r="T53" i="13"/>
  <c r="X54" i="13"/>
  <c r="X58" i="13"/>
  <c r="X62" i="13"/>
  <c r="Z62" i="13" s="1"/>
  <c r="AC62" i="13" s="1"/>
  <c r="X66" i="13"/>
  <c r="Z66" i="13" s="1"/>
  <c r="AC66" i="13" s="1"/>
  <c r="X70" i="13"/>
  <c r="Z70" i="13" s="1"/>
  <c r="AC70" i="13" s="1"/>
  <c r="T77" i="13"/>
  <c r="P77" i="13"/>
  <c r="S77" i="13"/>
  <c r="W77" i="13"/>
  <c r="R77" i="13"/>
  <c r="Y54" i="13"/>
  <c r="Y58" i="13"/>
  <c r="Y62" i="13"/>
  <c r="Y66" i="13"/>
  <c r="Y70" i="13"/>
  <c r="AD72" i="13"/>
  <c r="Y72" i="13"/>
  <c r="AD79" i="13"/>
  <c r="Y79" i="13"/>
  <c r="X84" i="13"/>
  <c r="W93" i="13"/>
  <c r="Z93" i="13" s="1"/>
  <c r="AC93" i="13" s="1"/>
  <c r="R93" i="13"/>
  <c r="Q93" i="13"/>
  <c r="T93" i="13"/>
  <c r="P93" i="13"/>
  <c r="S93" i="13"/>
  <c r="X76" i="13"/>
  <c r="X80" i="13"/>
  <c r="T83" i="13"/>
  <c r="P83" i="13"/>
  <c r="S83" i="13"/>
  <c r="AD85" i="13"/>
  <c r="Y85" i="13"/>
  <c r="W89" i="13"/>
  <c r="Z89" i="13" s="1"/>
  <c r="AC89" i="13" s="1"/>
  <c r="R89" i="13"/>
  <c r="Q89" i="13"/>
  <c r="T89" i="13"/>
  <c r="P89" i="13"/>
  <c r="S92" i="13"/>
  <c r="W92" i="13"/>
  <c r="R92" i="13"/>
  <c r="Q92" i="13"/>
  <c r="Y92" i="13"/>
  <c r="T95" i="13"/>
  <c r="P95" i="13"/>
  <c r="S95" i="13"/>
  <c r="W95" i="13"/>
  <c r="R95" i="13"/>
  <c r="X73" i="13"/>
  <c r="P76" i="13"/>
  <c r="T76" i="13"/>
  <c r="Y76" i="13"/>
  <c r="X77" i="13"/>
  <c r="P80" i="13"/>
  <c r="T80" i="13"/>
  <c r="Y80" i="13"/>
  <c r="X81" i="13"/>
  <c r="AD82" i="13"/>
  <c r="Y82" i="13"/>
  <c r="X82" i="13"/>
  <c r="W83" i="13"/>
  <c r="W85" i="13"/>
  <c r="R85" i="13"/>
  <c r="Q85" i="13"/>
  <c r="T85" i="13"/>
  <c r="P85" i="13"/>
  <c r="X85" i="13"/>
  <c r="S88" i="13"/>
  <c r="W88" i="13"/>
  <c r="R88" i="13"/>
  <c r="Q88" i="13"/>
  <c r="Y88" i="13"/>
  <c r="Y91" i="13"/>
  <c r="T91" i="13"/>
  <c r="AD92" i="13"/>
  <c r="Y73" i="13"/>
  <c r="Y77" i="13"/>
  <c r="Y81" i="13"/>
  <c r="Q83" i="13"/>
  <c r="T87" i="13"/>
  <c r="P87" i="13"/>
  <c r="S87" i="13"/>
  <c r="W87" i="13"/>
  <c r="R87" i="13"/>
  <c r="AD88" i="13"/>
  <c r="P92" i="13"/>
  <c r="AD93" i="13"/>
  <c r="Y93" i="13"/>
  <c r="Q95" i="13"/>
  <c r="X86" i="13"/>
  <c r="X90" i="13"/>
  <c r="X94" i="13"/>
  <c r="P82" i="13"/>
  <c r="T82" i="13"/>
  <c r="X83" i="13"/>
  <c r="P86" i="13"/>
  <c r="T86" i="13"/>
  <c r="Y86" i="13"/>
  <c r="X87" i="13"/>
  <c r="P90" i="13"/>
  <c r="T90" i="13"/>
  <c r="Y90" i="13"/>
  <c r="P94" i="13"/>
  <c r="T94" i="13"/>
  <c r="Y94" i="13"/>
  <c r="X95" i="13"/>
  <c r="Y83" i="13"/>
  <c r="Y87" i="13"/>
  <c r="Y95" i="13"/>
  <c r="Q55" i="5"/>
  <c r="W55" i="5"/>
  <c r="Q76" i="5"/>
  <c r="W76" i="5"/>
  <c r="S76" i="5"/>
  <c r="R76" i="5"/>
  <c r="W86" i="5"/>
  <c r="S86" i="5"/>
  <c r="W59" i="5"/>
  <c r="Q59" i="5"/>
  <c r="R62" i="5"/>
  <c r="X62" i="5"/>
  <c r="Q74" i="5"/>
  <c r="W74" i="5"/>
  <c r="S74" i="5"/>
  <c r="R74" i="5"/>
  <c r="W79" i="5"/>
  <c r="S79" i="5"/>
  <c r="W83" i="5"/>
  <c r="S83" i="5"/>
  <c r="W87" i="5"/>
  <c r="S87" i="5"/>
  <c r="X93" i="5"/>
  <c r="Q93" i="5"/>
  <c r="R58" i="5"/>
  <c r="X58" i="5"/>
  <c r="Q68" i="5"/>
  <c r="W68" i="5"/>
  <c r="S68" i="5"/>
  <c r="R68" i="5"/>
  <c r="W82" i="5"/>
  <c r="S82" i="5"/>
  <c r="Q63" i="5"/>
  <c r="W63" i="5"/>
  <c r="R66" i="5"/>
  <c r="X66" i="5"/>
  <c r="Q72" i="5"/>
  <c r="W72" i="5"/>
  <c r="S72" i="5"/>
  <c r="R72" i="5"/>
  <c r="W80" i="5"/>
  <c r="S80" i="5"/>
  <c r="W84" i="5"/>
  <c r="S84" i="5"/>
  <c r="W88" i="5"/>
  <c r="S88" i="5"/>
  <c r="Q94" i="5"/>
  <c r="R54" i="5"/>
  <c r="X54" i="5"/>
  <c r="X67" i="5"/>
  <c r="R67" i="5"/>
  <c r="Q70" i="5"/>
  <c r="W70" i="5"/>
  <c r="S70" i="5"/>
  <c r="R70" i="5"/>
  <c r="W81" i="5"/>
  <c r="S81" i="5"/>
  <c r="W85" i="5"/>
  <c r="S85" i="5"/>
  <c r="AD42" i="5"/>
  <c r="AD46" i="5"/>
  <c r="X79" i="5"/>
  <c r="X81" i="5"/>
  <c r="Z81" i="5" s="1"/>
  <c r="AC81" i="5" s="1"/>
  <c r="X83" i="5"/>
  <c r="X85" i="5"/>
  <c r="X96" i="5"/>
  <c r="AD24" i="5"/>
  <c r="M25" i="5"/>
  <c r="Q25" i="5" s="1"/>
  <c r="AD27" i="5"/>
  <c r="AD30" i="5"/>
  <c r="AD32" i="5"/>
  <c r="AD34" i="5"/>
  <c r="AD36" i="5"/>
  <c r="AD38" i="5"/>
  <c r="AD41" i="5"/>
  <c r="AD45" i="5"/>
  <c r="AD49" i="5"/>
  <c r="W69" i="5"/>
  <c r="W71" i="5"/>
  <c r="W73" i="5"/>
  <c r="W75" i="5"/>
  <c r="W91" i="5"/>
  <c r="AD102" i="5"/>
  <c r="AD104" i="5"/>
  <c r="X49" i="5"/>
  <c r="W57" i="5"/>
  <c r="W61" i="5"/>
  <c r="S73" i="5"/>
  <c r="S75" i="5"/>
  <c r="X80" i="5"/>
  <c r="Z80" i="5" s="1"/>
  <c r="AC80" i="5" s="1"/>
  <c r="X82" i="5"/>
  <c r="X84" i="5"/>
  <c r="X86" i="5"/>
  <c r="X88" i="5"/>
  <c r="Z88" i="5" s="1"/>
  <c r="AC88" i="5" s="1"/>
  <c r="Z96" i="5"/>
  <c r="AC96" i="5" s="1"/>
  <c r="M24" i="5"/>
  <c r="Q24" i="5" s="1"/>
  <c r="M27" i="5"/>
  <c r="Y27" i="5" s="1"/>
  <c r="X28" i="5"/>
  <c r="AD29" i="5"/>
  <c r="M30" i="5"/>
  <c r="Y30" i="5" s="1"/>
  <c r="X31" i="5"/>
  <c r="M32" i="5"/>
  <c r="Y32" i="5" s="1"/>
  <c r="X33" i="5"/>
  <c r="M34" i="5"/>
  <c r="Y34" i="5" s="1"/>
  <c r="X35" i="5"/>
  <c r="M36" i="5"/>
  <c r="Y36" i="5" s="1"/>
  <c r="X37" i="5"/>
  <c r="M38" i="5"/>
  <c r="Y38" i="5" s="1"/>
  <c r="X39" i="5"/>
  <c r="R77" i="5"/>
  <c r="Q90" i="5"/>
  <c r="X41" i="5"/>
  <c r="X45" i="5"/>
  <c r="W65" i="5"/>
  <c r="S69" i="5"/>
  <c r="S71" i="5"/>
  <c r="X87" i="5"/>
  <c r="S91" i="5"/>
  <c r="X25" i="5"/>
  <c r="AD26" i="5"/>
  <c r="M29" i="5"/>
  <c r="Q29" i="5" s="1"/>
  <c r="Y41" i="5"/>
  <c r="T41" i="5"/>
  <c r="T42" i="5"/>
  <c r="Y43" i="5"/>
  <c r="Y45" i="5"/>
  <c r="T45" i="5"/>
  <c r="T46" i="5"/>
  <c r="Y47" i="5"/>
  <c r="Y49" i="5"/>
  <c r="T49" i="5"/>
  <c r="T50" i="5"/>
  <c r="R69" i="5"/>
  <c r="R71" i="5"/>
  <c r="R73" i="5"/>
  <c r="R75" i="5"/>
  <c r="S96" i="5"/>
  <c r="P105" i="5"/>
  <c r="P27" i="5"/>
  <c r="S27" i="5"/>
  <c r="Y26" i="5"/>
  <c r="T26" i="5"/>
  <c r="P26" i="5"/>
  <c r="S26" i="5"/>
  <c r="W26" i="5"/>
  <c r="R26" i="5"/>
  <c r="T25" i="5"/>
  <c r="P25" i="5"/>
  <c r="S25" i="5"/>
  <c r="W25" i="5"/>
  <c r="Z25" i="5" s="1"/>
  <c r="AC25" i="5" s="1"/>
  <c r="R25" i="5"/>
  <c r="Q27" i="5"/>
  <c r="S29" i="5"/>
  <c r="T24" i="5"/>
  <c r="P24" i="5"/>
  <c r="S24" i="5"/>
  <c r="W24" i="5"/>
  <c r="R24" i="5"/>
  <c r="X26" i="5"/>
  <c r="Q26" i="5"/>
  <c r="Y28" i="5"/>
  <c r="T28" i="5"/>
  <c r="P28" i="5"/>
  <c r="S28" i="5"/>
  <c r="W28" i="5"/>
  <c r="R28" i="5"/>
  <c r="Q31" i="5"/>
  <c r="Q33" i="5"/>
  <c r="Q35" i="5"/>
  <c r="Q39" i="5"/>
  <c r="S43" i="5"/>
  <c r="W51" i="5"/>
  <c r="R51" i="5"/>
  <c r="Q51" i="5"/>
  <c r="T51" i="5"/>
  <c r="P51" i="5"/>
  <c r="R30" i="5"/>
  <c r="W30" i="5"/>
  <c r="R31" i="5"/>
  <c r="W31" i="5"/>
  <c r="Z31" i="5" s="1"/>
  <c r="AC31" i="5" s="1"/>
  <c r="R32" i="5"/>
  <c r="R33" i="5"/>
  <c r="W33" i="5"/>
  <c r="R34" i="5"/>
  <c r="W34" i="5"/>
  <c r="R35" i="5"/>
  <c r="W35" i="5"/>
  <c r="Z35" i="5" s="1"/>
  <c r="AC35" i="5" s="1"/>
  <c r="R36" i="5"/>
  <c r="R37" i="5"/>
  <c r="W37" i="5"/>
  <c r="R38" i="5"/>
  <c r="W38" i="5"/>
  <c r="R39" i="5"/>
  <c r="W39" i="5"/>
  <c r="W40" i="5"/>
  <c r="Z40" i="5" s="1"/>
  <c r="AC40" i="5" s="1"/>
  <c r="R40" i="5"/>
  <c r="Q40" i="5"/>
  <c r="S40" i="5"/>
  <c r="X42" i="5"/>
  <c r="T43" i="5"/>
  <c r="AD43" i="5"/>
  <c r="W44" i="5"/>
  <c r="Z44" i="5" s="1"/>
  <c r="AC44" i="5" s="1"/>
  <c r="R44" i="5"/>
  <c r="Q44" i="5"/>
  <c r="S44" i="5"/>
  <c r="X46" i="5"/>
  <c r="T47" i="5"/>
  <c r="AD47" i="5"/>
  <c r="W48" i="5"/>
  <c r="Z48" i="5" s="1"/>
  <c r="AC48" i="5" s="1"/>
  <c r="R48" i="5"/>
  <c r="Q48" i="5"/>
  <c r="S48" i="5"/>
  <c r="X50" i="5"/>
  <c r="AD53" i="5"/>
  <c r="Y53" i="5"/>
  <c r="T54" i="5"/>
  <c r="P54" i="5"/>
  <c r="W54" i="5"/>
  <c r="Q54" i="5"/>
  <c r="S54" i="5"/>
  <c r="AD55" i="5"/>
  <c r="Y55" i="5"/>
  <c r="X55" i="5"/>
  <c r="Z55" i="5" s="1"/>
  <c r="AC55" i="5" s="1"/>
  <c r="R56" i="5"/>
  <c r="T58" i="5"/>
  <c r="P58" i="5"/>
  <c r="W58" i="5"/>
  <c r="Z58" i="5" s="1"/>
  <c r="AC58" i="5" s="1"/>
  <c r="Q58" i="5"/>
  <c r="S58" i="5"/>
  <c r="AD59" i="5"/>
  <c r="Y59" i="5"/>
  <c r="X59" i="5"/>
  <c r="R60" i="5"/>
  <c r="T62" i="5"/>
  <c r="P62" i="5"/>
  <c r="W62" i="5"/>
  <c r="Z62" i="5" s="1"/>
  <c r="AC62" i="5" s="1"/>
  <c r="Q62" i="5"/>
  <c r="S62" i="5"/>
  <c r="AD63" i="5"/>
  <c r="Y63" i="5"/>
  <c r="X63" i="5"/>
  <c r="Z63" i="5" s="1"/>
  <c r="AC63" i="5" s="1"/>
  <c r="R64" i="5"/>
  <c r="T66" i="5"/>
  <c r="P66" i="5"/>
  <c r="W66" i="5"/>
  <c r="Z66" i="5" s="1"/>
  <c r="AC66" i="5" s="1"/>
  <c r="Q66" i="5"/>
  <c r="S66" i="5"/>
  <c r="AD67" i="5"/>
  <c r="Y67" i="5"/>
  <c r="Q34" i="5"/>
  <c r="Y40" i="5"/>
  <c r="S47" i="5"/>
  <c r="Y48" i="5"/>
  <c r="S31" i="5"/>
  <c r="S33" i="5"/>
  <c r="S35" i="5"/>
  <c r="S37" i="5"/>
  <c r="S39" i="5"/>
  <c r="T40" i="5"/>
  <c r="AD40" i="5"/>
  <c r="W41" i="5"/>
  <c r="Z41" i="5" s="1"/>
  <c r="AC41" i="5" s="1"/>
  <c r="R41" i="5"/>
  <c r="Q41" i="5"/>
  <c r="S41" i="5"/>
  <c r="X43" i="5"/>
  <c r="T44" i="5"/>
  <c r="AD44" i="5"/>
  <c r="W45" i="5"/>
  <c r="R45" i="5"/>
  <c r="Q45" i="5"/>
  <c r="S45" i="5"/>
  <c r="X47" i="5"/>
  <c r="T48" i="5"/>
  <c r="AD48" i="5"/>
  <c r="W49" i="5"/>
  <c r="Z49" i="5" s="1"/>
  <c r="AC49" i="5" s="1"/>
  <c r="R49" i="5"/>
  <c r="Q49" i="5"/>
  <c r="S49" i="5"/>
  <c r="AD50" i="5"/>
  <c r="Y50" i="5"/>
  <c r="AD52" i="5"/>
  <c r="Y52" i="5"/>
  <c r="W53" i="5"/>
  <c r="R53" i="5"/>
  <c r="Q53" i="5"/>
  <c r="T53" i="5"/>
  <c r="P53" i="5"/>
  <c r="X53" i="5"/>
  <c r="Q37" i="5"/>
  <c r="Q38" i="5"/>
  <c r="W43" i="5"/>
  <c r="R43" i="5"/>
  <c r="Q43" i="5"/>
  <c r="Y44" i="5"/>
  <c r="W47" i="5"/>
  <c r="R47" i="5"/>
  <c r="Q47" i="5"/>
  <c r="X51" i="5"/>
  <c r="Z59" i="5"/>
  <c r="AC59" i="5" s="1"/>
  <c r="P30" i="5"/>
  <c r="T30" i="5"/>
  <c r="P31" i="5"/>
  <c r="T31" i="5"/>
  <c r="T32" i="5"/>
  <c r="P33" i="5"/>
  <c r="T33" i="5"/>
  <c r="P34" i="5"/>
  <c r="T34" i="5"/>
  <c r="P35" i="5"/>
  <c r="T35" i="5"/>
  <c r="T36" i="5"/>
  <c r="P37" i="5"/>
  <c r="T37" i="5"/>
  <c r="P38" i="5"/>
  <c r="T38" i="5"/>
  <c r="P39" i="5"/>
  <c r="T39" i="5"/>
  <c r="W42" i="5"/>
  <c r="R42" i="5"/>
  <c r="Q42" i="5"/>
  <c r="S42" i="5"/>
  <c r="P43" i="5"/>
  <c r="W46" i="5"/>
  <c r="R46" i="5"/>
  <c r="Q46" i="5"/>
  <c r="S46" i="5"/>
  <c r="P47" i="5"/>
  <c r="W50" i="5"/>
  <c r="Z50" i="5" s="1"/>
  <c r="AC50" i="5" s="1"/>
  <c r="R50" i="5"/>
  <c r="Q50" i="5"/>
  <c r="S50" i="5"/>
  <c r="AD51" i="5"/>
  <c r="Y51" i="5"/>
  <c r="S51" i="5"/>
  <c r="W52" i="5"/>
  <c r="R52" i="5"/>
  <c r="Q52" i="5"/>
  <c r="T52" i="5"/>
  <c r="P52" i="5"/>
  <c r="X52" i="5"/>
  <c r="T56" i="5"/>
  <c r="P56" i="5"/>
  <c r="W56" i="5"/>
  <c r="Z56" i="5" s="1"/>
  <c r="AC56" i="5" s="1"/>
  <c r="Q56" i="5"/>
  <c r="S56" i="5"/>
  <c r="AD57" i="5"/>
  <c r="Y57" i="5"/>
  <c r="X57" i="5"/>
  <c r="T60" i="5"/>
  <c r="P60" i="5"/>
  <c r="W60" i="5"/>
  <c r="Z60" i="5" s="1"/>
  <c r="AC60" i="5" s="1"/>
  <c r="Q60" i="5"/>
  <c r="S60" i="5"/>
  <c r="AD61" i="5"/>
  <c r="Y61" i="5"/>
  <c r="X61" i="5"/>
  <c r="Z61" i="5" s="1"/>
  <c r="AC61" i="5" s="1"/>
  <c r="T64" i="5"/>
  <c r="P64" i="5"/>
  <c r="W64" i="5"/>
  <c r="Z64" i="5" s="1"/>
  <c r="AC64" i="5" s="1"/>
  <c r="Q64" i="5"/>
  <c r="S64" i="5"/>
  <c r="AD65" i="5"/>
  <c r="Y65" i="5"/>
  <c r="X65" i="5"/>
  <c r="Z65" i="5" s="1"/>
  <c r="AC65" i="5" s="1"/>
  <c r="AD68" i="5"/>
  <c r="Y68" i="5"/>
  <c r="X68" i="5"/>
  <c r="Z68" i="5" s="1"/>
  <c r="AC68" i="5" s="1"/>
  <c r="AD71" i="5"/>
  <c r="Y71" i="5"/>
  <c r="X71" i="5"/>
  <c r="Z71" i="5" s="1"/>
  <c r="AC71" i="5" s="1"/>
  <c r="AD73" i="5"/>
  <c r="Y73" i="5"/>
  <c r="X73" i="5"/>
  <c r="Z73" i="5" s="1"/>
  <c r="AC73" i="5" s="1"/>
  <c r="AD75" i="5"/>
  <c r="Y75" i="5"/>
  <c r="X75" i="5"/>
  <c r="Z75" i="5" s="1"/>
  <c r="AC75" i="5" s="1"/>
  <c r="W95" i="5"/>
  <c r="R95" i="5"/>
  <c r="T95" i="5"/>
  <c r="P95" i="5"/>
  <c r="Q95" i="5"/>
  <c r="S95" i="5"/>
  <c r="M101" i="5"/>
  <c r="AD101" i="5"/>
  <c r="AD54" i="5"/>
  <c r="Y54" i="5"/>
  <c r="T55" i="5"/>
  <c r="P55" i="5"/>
  <c r="R55" i="5"/>
  <c r="AD56" i="5"/>
  <c r="Y56" i="5"/>
  <c r="T57" i="5"/>
  <c r="P57" i="5"/>
  <c r="R57" i="5"/>
  <c r="AD58" i="5"/>
  <c r="Y58" i="5"/>
  <c r="T59" i="5"/>
  <c r="P59" i="5"/>
  <c r="R59" i="5"/>
  <c r="AD60" i="5"/>
  <c r="Y60" i="5"/>
  <c r="T61" i="5"/>
  <c r="P61" i="5"/>
  <c r="R61" i="5"/>
  <c r="AD62" i="5"/>
  <c r="Y62" i="5"/>
  <c r="T63" i="5"/>
  <c r="P63" i="5"/>
  <c r="R63" i="5"/>
  <c r="AD64" i="5"/>
  <c r="Y64" i="5"/>
  <c r="T65" i="5"/>
  <c r="P65" i="5"/>
  <c r="R65" i="5"/>
  <c r="AD66" i="5"/>
  <c r="Y66" i="5"/>
  <c r="Q67" i="5"/>
  <c r="T67" i="5"/>
  <c r="P67" i="5"/>
  <c r="S67" i="5"/>
  <c r="AD69" i="5"/>
  <c r="Y69" i="5"/>
  <c r="X69" i="5"/>
  <c r="Z69" i="5" s="1"/>
  <c r="AC69" i="5" s="1"/>
  <c r="T77" i="5"/>
  <c r="P77" i="5"/>
  <c r="W77" i="5"/>
  <c r="Z77" i="5" s="1"/>
  <c r="AC77" i="5" s="1"/>
  <c r="Q77" i="5"/>
  <c r="S77" i="5"/>
  <c r="AD78" i="5"/>
  <c r="Y78" i="5"/>
  <c r="W89" i="5"/>
  <c r="Z89" i="5" s="1"/>
  <c r="AC89" i="5" s="1"/>
  <c r="R89" i="5"/>
  <c r="Q89" i="5"/>
  <c r="T89" i="5"/>
  <c r="P89" i="5"/>
  <c r="S89" i="5"/>
  <c r="S55" i="5"/>
  <c r="S57" i="5"/>
  <c r="S59" i="5"/>
  <c r="S61" i="5"/>
  <c r="S63" i="5"/>
  <c r="S65" i="5"/>
  <c r="W67" i="5"/>
  <c r="Z67" i="5" s="1"/>
  <c r="AC67" i="5" s="1"/>
  <c r="AD70" i="5"/>
  <c r="Y70" i="5"/>
  <c r="X70" i="5"/>
  <c r="Z70" i="5" s="1"/>
  <c r="AC70" i="5" s="1"/>
  <c r="AD72" i="5"/>
  <c r="Y72" i="5"/>
  <c r="X72" i="5"/>
  <c r="Z72" i="5" s="1"/>
  <c r="AC72" i="5" s="1"/>
  <c r="AD74" i="5"/>
  <c r="Y74" i="5"/>
  <c r="X74" i="5"/>
  <c r="AD76" i="5"/>
  <c r="Y76" i="5"/>
  <c r="X76" i="5"/>
  <c r="Z76" i="5" s="1"/>
  <c r="AC76" i="5" s="1"/>
  <c r="X78" i="5"/>
  <c r="P68" i="5"/>
  <c r="T68" i="5"/>
  <c r="P69" i="5"/>
  <c r="T69" i="5"/>
  <c r="P70" i="5"/>
  <c r="T70" i="5"/>
  <c r="P71" i="5"/>
  <c r="T71" i="5"/>
  <c r="P72" i="5"/>
  <c r="T72" i="5"/>
  <c r="P73" i="5"/>
  <c r="T73" i="5"/>
  <c r="P74" i="5"/>
  <c r="T74" i="5"/>
  <c r="P75" i="5"/>
  <c r="T75" i="5"/>
  <c r="P76" i="5"/>
  <c r="T76" i="5"/>
  <c r="Z79" i="5"/>
  <c r="AC79" i="5" s="1"/>
  <c r="Z82" i="5"/>
  <c r="AC82" i="5" s="1"/>
  <c r="Z83" i="5"/>
  <c r="AC83" i="5" s="1"/>
  <c r="Z85" i="5"/>
  <c r="AC85" i="5" s="1"/>
  <c r="Z86" i="5"/>
  <c r="AC86" i="5" s="1"/>
  <c r="Z87" i="5"/>
  <c r="AC87" i="5" s="1"/>
  <c r="AD77" i="5"/>
  <c r="Y77" i="5"/>
  <c r="W78" i="5"/>
  <c r="Z78" i="5" s="1"/>
  <c r="AC78" i="5" s="1"/>
  <c r="R78" i="5"/>
  <c r="T78" i="5"/>
  <c r="P78" i="5"/>
  <c r="S78" i="5"/>
  <c r="AD93" i="5"/>
  <c r="Y93" i="5"/>
  <c r="S97" i="5"/>
  <c r="P97" i="5"/>
  <c r="T97" i="5"/>
  <c r="Y97" i="5"/>
  <c r="R97" i="5"/>
  <c r="W97" i="5"/>
  <c r="Q97" i="5"/>
  <c r="AD79" i="5"/>
  <c r="Y79" i="5"/>
  <c r="AD80" i="5"/>
  <c r="Y80" i="5"/>
  <c r="AD81" i="5"/>
  <c r="Y81" i="5"/>
  <c r="AD82" i="5"/>
  <c r="Y82" i="5"/>
  <c r="AD83" i="5"/>
  <c r="Y83" i="5"/>
  <c r="AD84" i="5"/>
  <c r="Y84" i="5"/>
  <c r="AD85" i="5"/>
  <c r="Y85" i="5"/>
  <c r="AD86" i="5"/>
  <c r="Y86" i="5"/>
  <c r="AD87" i="5"/>
  <c r="Y87" i="5"/>
  <c r="AD88" i="5"/>
  <c r="Y88" i="5"/>
  <c r="AD89" i="5"/>
  <c r="Y89" i="5"/>
  <c r="P79" i="5"/>
  <c r="T79" i="5"/>
  <c r="P80" i="5"/>
  <c r="T80" i="5"/>
  <c r="P81" i="5"/>
  <c r="T81" i="5"/>
  <c r="P82" i="5"/>
  <c r="T82" i="5"/>
  <c r="P83" i="5"/>
  <c r="T83" i="5"/>
  <c r="P84" i="5"/>
  <c r="T84" i="5"/>
  <c r="P85" i="5"/>
  <c r="T85" i="5"/>
  <c r="P86" i="5"/>
  <c r="T86" i="5"/>
  <c r="P87" i="5"/>
  <c r="T87" i="5"/>
  <c r="P88" i="5"/>
  <c r="T88" i="5"/>
  <c r="T90" i="5"/>
  <c r="P90" i="5"/>
  <c r="R90" i="5"/>
  <c r="X90" i="5"/>
  <c r="Z90" i="5" s="1"/>
  <c r="AC90" i="5" s="1"/>
  <c r="AD91" i="5"/>
  <c r="Y91" i="5"/>
  <c r="W92" i="5"/>
  <c r="R92" i="5"/>
  <c r="T92" i="5"/>
  <c r="P92" i="5"/>
  <c r="S92" i="5"/>
  <c r="AD94" i="5"/>
  <c r="Y94" i="5"/>
  <c r="X94" i="5"/>
  <c r="S98" i="5"/>
  <c r="Y98" i="5"/>
  <c r="R98" i="5"/>
  <c r="W98" i="5"/>
  <c r="Q98" i="5"/>
  <c r="P98" i="5"/>
  <c r="Q79" i="5"/>
  <c r="Q80" i="5"/>
  <c r="Q81" i="5"/>
  <c r="Q82" i="5"/>
  <c r="Q83" i="5"/>
  <c r="Q84" i="5"/>
  <c r="Q85" i="5"/>
  <c r="Q86" i="5"/>
  <c r="Q87" i="5"/>
  <c r="Q88" i="5"/>
  <c r="S90" i="5"/>
  <c r="W93" i="5"/>
  <c r="Z93" i="5" s="1"/>
  <c r="AC93" i="5" s="1"/>
  <c r="R93" i="5"/>
  <c r="T93" i="5"/>
  <c r="P93" i="5"/>
  <c r="S93" i="5"/>
  <c r="AD95" i="5"/>
  <c r="Y95" i="5"/>
  <c r="X95" i="5"/>
  <c r="S99" i="5"/>
  <c r="P99" i="5"/>
  <c r="T99" i="5"/>
  <c r="Y99" i="5"/>
  <c r="R99" i="5"/>
  <c r="AD99" i="5"/>
  <c r="M103" i="5"/>
  <c r="AD103" i="5"/>
  <c r="R79" i="5"/>
  <c r="R80" i="5"/>
  <c r="R81" i="5"/>
  <c r="R82" i="5"/>
  <c r="R83" i="5"/>
  <c r="R84" i="5"/>
  <c r="R85" i="5"/>
  <c r="R86" i="5"/>
  <c r="R87" i="5"/>
  <c r="R88" i="5"/>
  <c r="AD90" i="5"/>
  <c r="Y90" i="5"/>
  <c r="T91" i="5"/>
  <c r="P91" i="5"/>
  <c r="R91" i="5"/>
  <c r="X91" i="5"/>
  <c r="Z91" i="5" s="1"/>
  <c r="AC91" i="5" s="1"/>
  <c r="AD92" i="5"/>
  <c r="Y92" i="5"/>
  <c r="X92" i="5"/>
  <c r="W94" i="5"/>
  <c r="R94" i="5"/>
  <c r="T94" i="5"/>
  <c r="P94" i="5"/>
  <c r="S94" i="5"/>
  <c r="AD96" i="5"/>
  <c r="Y96" i="5"/>
  <c r="T98" i="5"/>
  <c r="S100" i="5"/>
  <c r="Y100" i="5"/>
  <c r="R100" i="5"/>
  <c r="W100" i="5"/>
  <c r="Q100" i="5"/>
  <c r="P100" i="5"/>
  <c r="P96" i="5"/>
  <c r="T96" i="5"/>
  <c r="X98" i="5"/>
  <c r="X100" i="5"/>
  <c r="S102" i="5"/>
  <c r="W102" i="5"/>
  <c r="Z102" i="5" s="1"/>
  <c r="AC102" i="5" s="1"/>
  <c r="R102" i="5"/>
  <c r="Q102" i="5"/>
  <c r="Y102" i="5"/>
  <c r="X105" i="5"/>
  <c r="Q96" i="5"/>
  <c r="AD98" i="5"/>
  <c r="AD100" i="5"/>
  <c r="S105" i="5"/>
  <c r="W105" i="5"/>
  <c r="R105" i="5"/>
  <c r="Q105" i="5"/>
  <c r="Y105" i="5"/>
  <c r="R96" i="5"/>
  <c r="X97" i="5"/>
  <c r="X99" i="5"/>
  <c r="Z99" i="5" s="1"/>
  <c r="AC99" i="5" s="1"/>
  <c r="X101" i="5"/>
  <c r="X103" i="5"/>
  <c r="S104" i="5"/>
  <c r="W104" i="5"/>
  <c r="Z104" i="5" s="1"/>
  <c r="AC104" i="5" s="1"/>
  <c r="R104" i="5"/>
  <c r="Q104" i="5"/>
  <c r="Y104" i="5"/>
  <c r="AD105" i="5"/>
  <c r="L37" i="6"/>
  <c r="I45" i="6"/>
  <c r="H45" i="6"/>
  <c r="I53" i="6"/>
  <c r="H53" i="6"/>
  <c r="I57" i="6"/>
  <c r="H57" i="6"/>
  <c r="I61" i="6"/>
  <c r="H61" i="6"/>
  <c r="I23" i="6"/>
  <c r="K23" i="6" s="1"/>
  <c r="I24" i="6"/>
  <c r="K24" i="6" s="1"/>
  <c r="I28" i="6"/>
  <c r="H28" i="6"/>
  <c r="I32" i="6"/>
  <c r="H32" i="6"/>
  <c r="I36" i="6"/>
  <c r="H36" i="6"/>
  <c r="I40" i="6"/>
  <c r="H40" i="6"/>
  <c r="I44" i="6"/>
  <c r="H44" i="6"/>
  <c r="I48" i="6"/>
  <c r="H48" i="6"/>
  <c r="I52" i="6"/>
  <c r="H52" i="6"/>
  <c r="K52" i="6" s="1"/>
  <c r="I56" i="6"/>
  <c r="H56" i="6"/>
  <c r="I60" i="6"/>
  <c r="H60" i="6"/>
  <c r="I69" i="6"/>
  <c r="H69" i="6"/>
  <c r="I27" i="6"/>
  <c r="H27" i="6"/>
  <c r="I31" i="6"/>
  <c r="H31" i="6"/>
  <c r="K31" i="6" s="1"/>
  <c r="M31" i="6" s="1"/>
  <c r="I35" i="6"/>
  <c r="H35" i="6"/>
  <c r="I39" i="6"/>
  <c r="H39" i="6"/>
  <c r="K39" i="6" s="1"/>
  <c r="M39" i="6" s="1"/>
  <c r="I43" i="6"/>
  <c r="H43" i="6"/>
  <c r="I47" i="6"/>
  <c r="H47" i="6"/>
  <c r="K47" i="6" s="1"/>
  <c r="M47" i="6" s="1"/>
  <c r="I51" i="6"/>
  <c r="H51" i="6"/>
  <c r="K51" i="6" s="1"/>
  <c r="M51" i="6" s="1"/>
  <c r="I55" i="6"/>
  <c r="H55" i="6"/>
  <c r="K55" i="6" s="1"/>
  <c r="M55" i="6" s="1"/>
  <c r="I59" i="6"/>
  <c r="H59" i="6"/>
  <c r="K59" i="6" s="1"/>
  <c r="M59" i="6" s="1"/>
  <c r="M65" i="6"/>
  <c r="L65" i="6"/>
  <c r="I25" i="6"/>
  <c r="H25" i="6"/>
  <c r="K25" i="6" s="1"/>
  <c r="M25" i="6" s="1"/>
  <c r="I29" i="6"/>
  <c r="H29" i="6"/>
  <c r="K29" i="6" s="1"/>
  <c r="M29" i="6" s="1"/>
  <c r="I33" i="6"/>
  <c r="H33" i="6"/>
  <c r="K33" i="6" s="1"/>
  <c r="M33" i="6" s="1"/>
  <c r="I37" i="6"/>
  <c r="H37" i="6"/>
  <c r="K37" i="6" s="1"/>
  <c r="M37" i="6" s="1"/>
  <c r="I41" i="6"/>
  <c r="H41" i="6"/>
  <c r="K41" i="6" s="1"/>
  <c r="M41" i="6" s="1"/>
  <c r="I49" i="6"/>
  <c r="H49" i="6"/>
  <c r="K49" i="6" s="1"/>
  <c r="M49" i="6" s="1"/>
  <c r="I26" i="6"/>
  <c r="H26" i="6"/>
  <c r="K26" i="6" s="1"/>
  <c r="I30" i="6"/>
  <c r="H30" i="6"/>
  <c r="L31" i="6"/>
  <c r="I34" i="6"/>
  <c r="H34" i="6"/>
  <c r="K34" i="6" s="1"/>
  <c r="I38" i="6"/>
  <c r="H38" i="6"/>
  <c r="I42" i="6"/>
  <c r="H42" i="6"/>
  <c r="K42" i="6" s="1"/>
  <c r="I46" i="6"/>
  <c r="H46" i="6"/>
  <c r="I50" i="6"/>
  <c r="H50" i="6"/>
  <c r="K50" i="6" s="1"/>
  <c r="I54" i="6"/>
  <c r="H54" i="6"/>
  <c r="I58" i="6"/>
  <c r="H58" i="6"/>
  <c r="K58" i="6" s="1"/>
  <c r="L59" i="6"/>
  <c r="I62" i="6"/>
  <c r="H62" i="6"/>
  <c r="I66" i="6"/>
  <c r="H66" i="6"/>
  <c r="I70" i="6"/>
  <c r="H70" i="6"/>
  <c r="L63" i="6"/>
  <c r="I64" i="6"/>
  <c r="K64" i="6" s="1"/>
  <c r="I67" i="6"/>
  <c r="H67" i="6"/>
  <c r="K67" i="6" s="1"/>
  <c r="I68" i="6"/>
  <c r="H68" i="6"/>
  <c r="L71" i="6"/>
  <c r="L72" i="6"/>
  <c r="L75" i="6"/>
  <c r="L76" i="6"/>
  <c r="L79" i="6"/>
  <c r="L80" i="6"/>
  <c r="L83" i="6"/>
  <c r="L84" i="6"/>
  <c r="L87" i="6"/>
  <c r="L88" i="6"/>
  <c r="L91" i="6"/>
  <c r="L92" i="6"/>
  <c r="L95" i="6"/>
  <c r="L96" i="6"/>
  <c r="L99" i="6"/>
  <c r="L100" i="6"/>
  <c r="L103" i="6"/>
  <c r="L104" i="6"/>
  <c r="H71" i="6"/>
  <c r="K71" i="6" s="1"/>
  <c r="M71" i="6" s="1"/>
  <c r="H72" i="6"/>
  <c r="K72" i="6" s="1"/>
  <c r="M72" i="6" s="1"/>
  <c r="H73" i="6"/>
  <c r="K73" i="6" s="1"/>
  <c r="M73" i="6" s="1"/>
  <c r="H74" i="6"/>
  <c r="K74" i="6" s="1"/>
  <c r="M74" i="6" s="1"/>
  <c r="H75" i="6"/>
  <c r="K75" i="6" s="1"/>
  <c r="M75" i="6" s="1"/>
  <c r="H76" i="6"/>
  <c r="K76" i="6" s="1"/>
  <c r="M76" i="6" s="1"/>
  <c r="H77" i="6"/>
  <c r="K77" i="6" s="1"/>
  <c r="M77" i="6" s="1"/>
  <c r="H78" i="6"/>
  <c r="K78" i="6" s="1"/>
  <c r="M78" i="6" s="1"/>
  <c r="H79" i="6"/>
  <c r="K79" i="6" s="1"/>
  <c r="M79" i="6" s="1"/>
  <c r="H80" i="6"/>
  <c r="K80" i="6" s="1"/>
  <c r="M80" i="6" s="1"/>
  <c r="H81" i="6"/>
  <c r="K81" i="6" s="1"/>
  <c r="M81" i="6" s="1"/>
  <c r="H82" i="6"/>
  <c r="K82" i="6" s="1"/>
  <c r="M82" i="6" s="1"/>
  <c r="H83" i="6"/>
  <c r="K83" i="6" s="1"/>
  <c r="M83" i="6" s="1"/>
  <c r="H84" i="6"/>
  <c r="K84" i="6" s="1"/>
  <c r="M84" i="6" s="1"/>
  <c r="H85" i="6"/>
  <c r="K85" i="6" s="1"/>
  <c r="M85" i="6" s="1"/>
  <c r="H86" i="6"/>
  <c r="K86" i="6" s="1"/>
  <c r="M86" i="6" s="1"/>
  <c r="H87" i="6"/>
  <c r="K87" i="6" s="1"/>
  <c r="M87" i="6" s="1"/>
  <c r="H88" i="6"/>
  <c r="K88" i="6" s="1"/>
  <c r="M88" i="6" s="1"/>
  <c r="H89" i="6"/>
  <c r="K89" i="6" s="1"/>
  <c r="M89" i="6" s="1"/>
  <c r="H90" i="6"/>
  <c r="K90" i="6" s="1"/>
  <c r="M90" i="6" s="1"/>
  <c r="H91" i="6"/>
  <c r="K91" i="6" s="1"/>
  <c r="M91" i="6" s="1"/>
  <c r="H92" i="6"/>
  <c r="K92" i="6" s="1"/>
  <c r="M92" i="6" s="1"/>
  <c r="H93" i="6"/>
  <c r="K93" i="6" s="1"/>
  <c r="M93" i="6" s="1"/>
  <c r="H94" i="6"/>
  <c r="K94" i="6" s="1"/>
  <c r="M94" i="6" s="1"/>
  <c r="H95" i="6"/>
  <c r="K95" i="6" s="1"/>
  <c r="M95" i="6" s="1"/>
  <c r="H96" i="6"/>
  <c r="K96" i="6" s="1"/>
  <c r="M96" i="6" s="1"/>
  <c r="H97" i="6"/>
  <c r="K97" i="6" s="1"/>
  <c r="M97" i="6" s="1"/>
  <c r="H98" i="6"/>
  <c r="K98" i="6" s="1"/>
  <c r="M98" i="6" s="1"/>
  <c r="H99" i="6"/>
  <c r="K99" i="6" s="1"/>
  <c r="M99" i="6" s="1"/>
  <c r="H100" i="6"/>
  <c r="K100" i="6" s="1"/>
  <c r="M100" i="6" s="1"/>
  <c r="H101" i="6"/>
  <c r="K101" i="6" s="1"/>
  <c r="M101" i="6" s="1"/>
  <c r="H102" i="6"/>
  <c r="K102" i="6" s="1"/>
  <c r="M102" i="6" s="1"/>
  <c r="H103" i="6"/>
  <c r="K103" i="6" s="1"/>
  <c r="M103" i="6" s="1"/>
  <c r="H104" i="6"/>
  <c r="K104" i="6" s="1"/>
  <c r="M104" i="6" s="1"/>
  <c r="W29" i="5" l="1"/>
  <c r="Y29" i="5"/>
  <c r="Z84" i="5"/>
  <c r="AC84" i="5" s="1"/>
  <c r="K82" i="11"/>
  <c r="M82" i="11" s="1"/>
  <c r="K60" i="11"/>
  <c r="M60" i="11" s="1"/>
  <c r="Z74" i="5"/>
  <c r="AC74" i="5" s="1"/>
  <c r="Z39" i="5"/>
  <c r="AC39" i="5" s="1"/>
  <c r="P29" i="5"/>
  <c r="X27" i="5"/>
  <c r="R27" i="5"/>
  <c r="T27" i="5"/>
  <c r="R29" i="5"/>
  <c r="T29" i="5"/>
  <c r="W27" i="5"/>
  <c r="X34" i="5"/>
  <c r="L70" i="11"/>
  <c r="J90" i="11"/>
  <c r="K51" i="11"/>
  <c r="M51" i="11" s="1"/>
  <c r="K23" i="11"/>
  <c r="M23" i="11" s="1"/>
  <c r="K39" i="11"/>
  <c r="M39" i="11" s="1"/>
  <c r="K47" i="11"/>
  <c r="M47" i="11" s="1"/>
  <c r="K44" i="11"/>
  <c r="M44" i="11" s="1"/>
  <c r="J25" i="11"/>
  <c r="J34" i="11"/>
  <c r="J67" i="11"/>
  <c r="L67" i="11" s="1"/>
  <c r="L62" i="11"/>
  <c r="L26" i="11"/>
  <c r="K56" i="11"/>
  <c r="M56" i="11" s="1"/>
  <c r="K46" i="11"/>
  <c r="M46" i="11" s="1"/>
  <c r="J68" i="11"/>
  <c r="J30" i="11"/>
  <c r="J63" i="11"/>
  <c r="K52" i="11"/>
  <c r="M52" i="11" s="1"/>
  <c r="J61" i="11"/>
  <c r="L61" i="11" s="1"/>
  <c r="J31" i="11"/>
  <c r="K59" i="11"/>
  <c r="M59" i="11" s="1"/>
  <c r="J27" i="11"/>
  <c r="J35" i="11"/>
  <c r="K99" i="11"/>
  <c r="M99" i="11" s="1"/>
  <c r="K83" i="11"/>
  <c r="M83" i="11" s="1"/>
  <c r="J84" i="11"/>
  <c r="L84" i="11" s="1"/>
  <c r="J80" i="11"/>
  <c r="K78" i="11"/>
  <c r="M78" i="11" s="1"/>
  <c r="K98" i="11"/>
  <c r="M98" i="11" s="1"/>
  <c r="K65" i="11"/>
  <c r="M65" i="11" s="1"/>
  <c r="K33" i="11"/>
  <c r="M33" i="11" s="1"/>
  <c r="J100" i="11"/>
  <c r="L100" i="11" s="1"/>
  <c r="J97" i="11"/>
  <c r="J71" i="11"/>
  <c r="J64" i="11"/>
  <c r="J76" i="11"/>
  <c r="L76" i="11" s="1"/>
  <c r="J74" i="11"/>
  <c r="L74" i="11" s="1"/>
  <c r="K86" i="11"/>
  <c r="M86" i="11" s="1"/>
  <c r="J40" i="11"/>
  <c r="K29" i="11"/>
  <c r="M29" i="11" s="1"/>
  <c r="K49" i="11"/>
  <c r="M49" i="11" s="1"/>
  <c r="J36" i="11"/>
  <c r="K93" i="11"/>
  <c r="M93" i="11" s="1"/>
  <c r="J101" i="11"/>
  <c r="L101" i="11" s="1"/>
  <c r="J89" i="11"/>
  <c r="J77" i="11"/>
  <c r="J94" i="11"/>
  <c r="K75" i="11"/>
  <c r="M75" i="11" s="1"/>
  <c r="K73" i="11"/>
  <c r="M73" i="11" s="1"/>
  <c r="K95" i="11"/>
  <c r="M95" i="11" s="1"/>
  <c r="J55" i="11"/>
  <c r="J38" i="11"/>
  <c r="J72" i="11"/>
  <c r="L34" i="11"/>
  <c r="J43" i="11"/>
  <c r="J41" i="11"/>
  <c r="K28" i="11"/>
  <c r="M28" i="11" s="1"/>
  <c r="K48" i="11"/>
  <c r="M48" i="11" s="1"/>
  <c r="J37" i="11"/>
  <c r="J45" i="11"/>
  <c r="K24" i="11"/>
  <c r="M24" i="11" s="1"/>
  <c r="K57" i="11"/>
  <c r="M57" i="11" s="1"/>
  <c r="J99" i="11"/>
  <c r="L99" i="11" s="1"/>
  <c r="J93" i="11"/>
  <c r="L93" i="11" s="1"/>
  <c r="J92" i="11"/>
  <c r="L92" i="11" s="1"/>
  <c r="K94" i="11"/>
  <c r="M94" i="11" s="1"/>
  <c r="J75" i="11"/>
  <c r="J103" i="11"/>
  <c r="L103" i="11" s="1"/>
  <c r="K90" i="11"/>
  <c r="M90" i="11" s="1"/>
  <c r="J81" i="11"/>
  <c r="L81" i="11" s="1"/>
  <c r="J58" i="11"/>
  <c r="L58" i="11" s="1"/>
  <c r="K30" i="11"/>
  <c r="M30" i="11" s="1"/>
  <c r="J88" i="11"/>
  <c r="L88" i="11" s="1"/>
  <c r="J69" i="11"/>
  <c r="L69" i="11" s="1"/>
  <c r="K41" i="11"/>
  <c r="M41" i="11" s="1"/>
  <c r="K37" i="11"/>
  <c r="M37" i="11" s="1"/>
  <c r="J91" i="11"/>
  <c r="L91" i="11" s="1"/>
  <c r="J85" i="11"/>
  <c r="L85" i="11" s="1"/>
  <c r="K97" i="11"/>
  <c r="J82" i="11"/>
  <c r="L82" i="11" s="1"/>
  <c r="J79" i="11"/>
  <c r="L79" i="11" s="1"/>
  <c r="K71" i="11"/>
  <c r="M71" i="11" s="1"/>
  <c r="J96" i="11"/>
  <c r="L96" i="11" s="1"/>
  <c r="J95" i="11"/>
  <c r="L95" i="11" s="1"/>
  <c r="K80" i="11"/>
  <c r="K55" i="11"/>
  <c r="M55" i="11" s="1"/>
  <c r="K102" i="11"/>
  <c r="M102" i="11" s="1"/>
  <c r="J78" i="11"/>
  <c r="L78" i="11" s="1"/>
  <c r="K68" i="11"/>
  <c r="M68" i="11" s="1"/>
  <c r="J54" i="11"/>
  <c r="L54" i="11" s="1"/>
  <c r="J86" i="11"/>
  <c r="L86" i="11" s="1"/>
  <c r="J98" i="11"/>
  <c r="L98" i="11" s="1"/>
  <c r="K72" i="11"/>
  <c r="M72" i="11" s="1"/>
  <c r="J65" i="11"/>
  <c r="K63" i="11"/>
  <c r="M63" i="11" s="1"/>
  <c r="K53" i="11"/>
  <c r="M53" i="11" s="1"/>
  <c r="J52" i="11"/>
  <c r="L52" i="11" s="1"/>
  <c r="J33" i="11"/>
  <c r="K31" i="11"/>
  <c r="M31" i="11" s="1"/>
  <c r="J29" i="11"/>
  <c r="L29" i="11" s="1"/>
  <c r="J23" i="11"/>
  <c r="L23" i="11" s="1"/>
  <c r="J49" i="11"/>
  <c r="J39" i="11"/>
  <c r="L39" i="11" s="1"/>
  <c r="K45" i="11"/>
  <c r="M45" i="11" s="1"/>
  <c r="J44" i="11"/>
  <c r="L44" i="11" s="1"/>
  <c r="J87" i="11"/>
  <c r="L87" i="11" s="1"/>
  <c r="K89" i="11"/>
  <c r="M89" i="11" s="1"/>
  <c r="J83" i="11"/>
  <c r="L83" i="11" s="1"/>
  <c r="K77" i="11"/>
  <c r="M77" i="11" s="1"/>
  <c r="J56" i="11"/>
  <c r="J104" i="11"/>
  <c r="L104" i="11" s="1"/>
  <c r="J73" i="11"/>
  <c r="L73" i="11" s="1"/>
  <c r="K64" i="11"/>
  <c r="M64" i="11" s="1"/>
  <c r="K38" i="11"/>
  <c r="M38" i="11" s="1"/>
  <c r="J46" i="11"/>
  <c r="L46" i="11" s="1"/>
  <c r="J60" i="11"/>
  <c r="L60" i="11" s="1"/>
  <c r="K43" i="11"/>
  <c r="J32" i="11"/>
  <c r="L32" i="11" s="1"/>
  <c r="J51" i="11"/>
  <c r="L51" i="11" s="1"/>
  <c r="K40" i="11"/>
  <c r="J28" i="11"/>
  <c r="L28" i="11" s="1"/>
  <c r="J59" i="11"/>
  <c r="J48" i="11"/>
  <c r="L48" i="11" s="1"/>
  <c r="K36" i="11"/>
  <c r="K27" i="11"/>
  <c r="M27" i="11" s="1"/>
  <c r="J47" i="11"/>
  <c r="K35" i="11"/>
  <c r="K25" i="11"/>
  <c r="J24" i="11"/>
  <c r="L24" i="11" s="1"/>
  <c r="Z60" i="13"/>
  <c r="AC60" i="13" s="1"/>
  <c r="R91" i="13"/>
  <c r="W91" i="13"/>
  <c r="Z86" i="13"/>
  <c r="AC86" i="13" s="1"/>
  <c r="Z92" i="13"/>
  <c r="AC92" i="13" s="1"/>
  <c r="Z32" i="13"/>
  <c r="AC32" i="13" s="1"/>
  <c r="S91" i="13"/>
  <c r="Z47" i="13"/>
  <c r="AC47" i="13" s="1"/>
  <c r="Z42" i="13"/>
  <c r="AC42" i="13" s="1"/>
  <c r="Y101" i="13"/>
  <c r="Z90" i="13"/>
  <c r="AC90" i="13" s="1"/>
  <c r="P91" i="13"/>
  <c r="Z24" i="13"/>
  <c r="AC24" i="13" s="1"/>
  <c r="T101" i="13"/>
  <c r="S101" i="13"/>
  <c r="X91" i="13"/>
  <c r="Z53" i="13"/>
  <c r="AC53" i="13" s="1"/>
  <c r="Z35" i="13"/>
  <c r="AC35" i="13" s="1"/>
  <c r="Y59" i="13"/>
  <c r="Z82" i="13"/>
  <c r="AC82" i="13" s="1"/>
  <c r="X38" i="13"/>
  <c r="S102" i="13"/>
  <c r="W23" i="13"/>
  <c r="S38" i="13"/>
  <c r="R102" i="13"/>
  <c r="Q102" i="13"/>
  <c r="X102" i="13"/>
  <c r="X101" i="13"/>
  <c r="W59" i="13"/>
  <c r="Z45" i="13"/>
  <c r="AC45" i="13" s="1"/>
  <c r="P34" i="13"/>
  <c r="Z99" i="13"/>
  <c r="AC99" i="13" s="1"/>
  <c r="P59" i="13"/>
  <c r="Z80" i="13"/>
  <c r="AC80" i="13" s="1"/>
  <c r="S59" i="13"/>
  <c r="Z69" i="13"/>
  <c r="AC69" i="13" s="1"/>
  <c r="R34" i="13"/>
  <c r="T34" i="13"/>
  <c r="X34" i="13"/>
  <c r="X59" i="13"/>
  <c r="T59" i="13"/>
  <c r="Z33" i="13"/>
  <c r="AC33" i="13" s="1"/>
  <c r="W34" i="13"/>
  <c r="Y34" i="13"/>
  <c r="Z100" i="13"/>
  <c r="AC100" i="13" s="1"/>
  <c r="U104" i="13"/>
  <c r="AB104" i="13" s="1"/>
  <c r="Z79" i="13"/>
  <c r="AC79" i="13" s="1"/>
  <c r="Z55" i="13"/>
  <c r="AC55" i="13" s="1"/>
  <c r="Z37" i="13"/>
  <c r="AC37" i="13" s="1"/>
  <c r="P38" i="13"/>
  <c r="P102" i="13"/>
  <c r="W102" i="13"/>
  <c r="Z52" i="13"/>
  <c r="AC52" i="13" s="1"/>
  <c r="R38" i="13"/>
  <c r="T38" i="13"/>
  <c r="Z97" i="13"/>
  <c r="AC97" i="13" s="1"/>
  <c r="Z94" i="13"/>
  <c r="AC94" i="13" s="1"/>
  <c r="Z88" i="13"/>
  <c r="AC88" i="13" s="1"/>
  <c r="Z54" i="13"/>
  <c r="AC54" i="13" s="1"/>
  <c r="Z71" i="13"/>
  <c r="AC71" i="13" s="1"/>
  <c r="Z67" i="13"/>
  <c r="AC67" i="13" s="1"/>
  <c r="Z41" i="13"/>
  <c r="AC41" i="13" s="1"/>
  <c r="T23" i="13"/>
  <c r="Q38" i="13"/>
  <c r="W38" i="13"/>
  <c r="Z25" i="13"/>
  <c r="AC25" i="13" s="1"/>
  <c r="Z96" i="13"/>
  <c r="AC96" i="13" s="1"/>
  <c r="Z104" i="13"/>
  <c r="AC104" i="13" s="1"/>
  <c r="Z68" i="13"/>
  <c r="AC68" i="13" s="1"/>
  <c r="Z63" i="13"/>
  <c r="AC63" i="13" s="1"/>
  <c r="P23" i="13"/>
  <c r="Z40" i="13"/>
  <c r="AC40" i="13" s="1"/>
  <c r="R23" i="13"/>
  <c r="Z98" i="13"/>
  <c r="AC98" i="13" s="1"/>
  <c r="X23" i="13"/>
  <c r="Z58" i="13"/>
  <c r="AC58" i="13" s="1"/>
  <c r="Z61" i="13"/>
  <c r="AC61" i="13" s="1"/>
  <c r="Z103" i="13"/>
  <c r="AC103" i="13" s="1"/>
  <c r="Q101" i="13"/>
  <c r="R101" i="13"/>
  <c r="W101" i="13"/>
  <c r="Z95" i="13"/>
  <c r="AC95" i="13" s="1"/>
  <c r="Z76" i="13"/>
  <c r="AC76" i="13" s="1"/>
  <c r="Z29" i="13"/>
  <c r="AC29" i="13" s="1"/>
  <c r="Z46" i="13"/>
  <c r="AC46" i="13" s="1"/>
  <c r="S23" i="13"/>
  <c r="Q23" i="13"/>
  <c r="Z27" i="13"/>
  <c r="AC27" i="13" s="1"/>
  <c r="Z85" i="13"/>
  <c r="AC85" i="13" s="1"/>
  <c r="S78" i="13"/>
  <c r="W78" i="13"/>
  <c r="R78" i="13"/>
  <c r="Q78" i="13"/>
  <c r="P78" i="13"/>
  <c r="Y78" i="13"/>
  <c r="T78" i="13"/>
  <c r="Z50" i="13"/>
  <c r="AC50" i="13" s="1"/>
  <c r="Z36" i="13"/>
  <c r="AC36" i="13" s="1"/>
  <c r="Z48" i="13"/>
  <c r="AC48" i="13" s="1"/>
  <c r="S74" i="13"/>
  <c r="W74" i="13"/>
  <c r="R74" i="13"/>
  <c r="T74" i="13"/>
  <c r="Y74" i="13"/>
  <c r="Q74" i="13"/>
  <c r="P74" i="13"/>
  <c r="Z83" i="13"/>
  <c r="AC83" i="13" s="1"/>
  <c r="Z84" i="13"/>
  <c r="AC84" i="13" s="1"/>
  <c r="Z73" i="13"/>
  <c r="AC73" i="13" s="1"/>
  <c r="Z81" i="13"/>
  <c r="AC81" i="13" s="1"/>
  <c r="Z65" i="13"/>
  <c r="AC65" i="13" s="1"/>
  <c r="S51" i="13"/>
  <c r="W51" i="13"/>
  <c r="Z51" i="13" s="1"/>
  <c r="AC51" i="13" s="1"/>
  <c r="R51" i="13"/>
  <c r="T51" i="13"/>
  <c r="Q51" i="13"/>
  <c r="P51" i="13"/>
  <c r="Y51" i="13"/>
  <c r="Z49" i="13"/>
  <c r="AC49" i="13" s="1"/>
  <c r="Z44" i="13"/>
  <c r="AC44" i="13" s="1"/>
  <c r="Z26" i="13"/>
  <c r="AC26" i="13" s="1"/>
  <c r="Z31" i="13"/>
  <c r="AC31" i="13" s="1"/>
  <c r="X74" i="13"/>
  <c r="Z87" i="13"/>
  <c r="AC87" i="13" s="1"/>
  <c r="Z77" i="13"/>
  <c r="AC77" i="13" s="1"/>
  <c r="Z64" i="13"/>
  <c r="AC64" i="13" s="1"/>
  <c r="Z56" i="13"/>
  <c r="AC56" i="13" s="1"/>
  <c r="X78" i="13"/>
  <c r="Z75" i="13"/>
  <c r="AC75" i="13" s="1"/>
  <c r="Z72" i="13"/>
  <c r="AC72" i="13" s="1"/>
  <c r="Z30" i="13"/>
  <c r="AC30" i="13" s="1"/>
  <c r="Z43" i="13"/>
  <c r="AC43" i="13" s="1"/>
  <c r="Z92" i="5"/>
  <c r="AC92" i="5" s="1"/>
  <c r="Z42" i="5"/>
  <c r="AC42" i="5" s="1"/>
  <c r="P36" i="5"/>
  <c r="P32" i="5"/>
  <c r="Z53" i="5"/>
  <c r="AC53" i="5" s="1"/>
  <c r="Z45" i="5"/>
  <c r="AC45" i="5" s="1"/>
  <c r="S38" i="5"/>
  <c r="S36" i="5"/>
  <c r="S34" i="5"/>
  <c r="S32" i="5"/>
  <c r="S30" i="5"/>
  <c r="Q32" i="5"/>
  <c r="Z54" i="5"/>
  <c r="AC54" i="5" s="1"/>
  <c r="Z37" i="5"/>
  <c r="AC37" i="5" s="1"/>
  <c r="Z33" i="5"/>
  <c r="AC33" i="5" s="1"/>
  <c r="Q30" i="5"/>
  <c r="Y24" i="5"/>
  <c r="Y25" i="5"/>
  <c r="X38" i="5"/>
  <c r="Z38" i="5" s="1"/>
  <c r="AC38" i="5" s="1"/>
  <c r="X29" i="5"/>
  <c r="Z29" i="5" s="1"/>
  <c r="AC29" i="5" s="1"/>
  <c r="X32" i="5"/>
  <c r="Z57" i="5"/>
  <c r="AC57" i="5" s="1"/>
  <c r="Z43" i="5"/>
  <c r="AC43" i="5" s="1"/>
  <c r="X36" i="5"/>
  <c r="X30" i="5"/>
  <c r="Z30" i="5" s="1"/>
  <c r="AC30" i="5" s="1"/>
  <c r="Q36" i="5"/>
  <c r="W36" i="5"/>
  <c r="Z36" i="5" s="1"/>
  <c r="AC36" i="5" s="1"/>
  <c r="Z34" i="5"/>
  <c r="AC34" i="5" s="1"/>
  <c r="W32" i="5"/>
  <c r="Z32" i="5" s="1"/>
  <c r="AC32" i="5" s="1"/>
  <c r="Z28" i="5"/>
  <c r="AC28" i="5" s="1"/>
  <c r="Z26" i="5"/>
  <c r="AC26" i="5" s="1"/>
  <c r="X24" i="5"/>
  <c r="Z24" i="5" s="1"/>
  <c r="AC24" i="5" s="1"/>
  <c r="Z52" i="5"/>
  <c r="AC52" i="5" s="1"/>
  <c r="Z47" i="5"/>
  <c r="AC47" i="5" s="1"/>
  <c r="Z51" i="5"/>
  <c r="AC51" i="5" s="1"/>
  <c r="Z100" i="5"/>
  <c r="AC100" i="5" s="1"/>
  <c r="Z94" i="5"/>
  <c r="AC94" i="5" s="1"/>
  <c r="S103" i="5"/>
  <c r="W103" i="5"/>
  <c r="Z103" i="5" s="1"/>
  <c r="AC103" i="5" s="1"/>
  <c r="R103" i="5"/>
  <c r="Q103" i="5"/>
  <c r="T103" i="5"/>
  <c r="P103" i="5"/>
  <c r="Y103" i="5"/>
  <c r="Z97" i="5"/>
  <c r="AC97" i="5" s="1"/>
  <c r="Z95" i="5"/>
  <c r="AC95" i="5" s="1"/>
  <c r="Z46" i="5"/>
  <c r="AC46" i="5" s="1"/>
  <c r="Z27" i="5"/>
  <c r="AC27" i="5" s="1"/>
  <c r="Z105" i="5"/>
  <c r="AC105" i="5" s="1"/>
  <c r="Z98" i="5"/>
  <c r="AC98" i="5" s="1"/>
  <c r="S101" i="5"/>
  <c r="P101" i="5"/>
  <c r="T101" i="5"/>
  <c r="Y101" i="5"/>
  <c r="R101" i="5"/>
  <c r="W101" i="5"/>
  <c r="Z101" i="5" s="1"/>
  <c r="AC101" i="5" s="1"/>
  <c r="Q101" i="5"/>
  <c r="M64" i="6"/>
  <c r="L64" i="6"/>
  <c r="M24" i="6"/>
  <c r="L24" i="6"/>
  <c r="M23" i="6"/>
  <c r="L23" i="6"/>
  <c r="M67" i="6"/>
  <c r="L67" i="6"/>
  <c r="M58" i="6"/>
  <c r="L58" i="6"/>
  <c r="L47" i="6"/>
  <c r="M42" i="6"/>
  <c r="L42" i="6"/>
  <c r="M26" i="6"/>
  <c r="L26" i="6"/>
  <c r="M52" i="6"/>
  <c r="L52" i="6"/>
  <c r="L102" i="6"/>
  <c r="L98" i="6"/>
  <c r="L94" i="6"/>
  <c r="L90" i="6"/>
  <c r="L86" i="6"/>
  <c r="L82" i="6"/>
  <c r="L78" i="6"/>
  <c r="L74" i="6"/>
  <c r="K68" i="6"/>
  <c r="K70" i="6"/>
  <c r="K62" i="6"/>
  <c r="L51" i="6"/>
  <c r="K46" i="6"/>
  <c r="K30" i="6"/>
  <c r="K56" i="6"/>
  <c r="K44" i="6"/>
  <c r="K36" i="6"/>
  <c r="K28" i="6"/>
  <c r="K61" i="6"/>
  <c r="K53" i="6"/>
  <c r="L33" i="6"/>
  <c r="L101" i="6"/>
  <c r="L97" i="6"/>
  <c r="L93" i="6"/>
  <c r="L89" i="6"/>
  <c r="L85" i="6"/>
  <c r="L81" i="6"/>
  <c r="L77" i="6"/>
  <c r="L73" i="6"/>
  <c r="L55" i="6"/>
  <c r="M50" i="6"/>
  <c r="L50" i="6"/>
  <c r="L39" i="6"/>
  <c r="M34" i="6"/>
  <c r="L34" i="6"/>
  <c r="K43" i="6"/>
  <c r="K35" i="6"/>
  <c r="K27" i="6"/>
  <c r="K60" i="6"/>
  <c r="K48" i="6"/>
  <c r="L49" i="6"/>
  <c r="L29" i="6"/>
  <c r="K66" i="6"/>
  <c r="K54" i="6"/>
  <c r="K38" i="6"/>
  <c r="K69" i="6"/>
  <c r="K40" i="6"/>
  <c r="K32" i="6"/>
  <c r="K57" i="6"/>
  <c r="K45" i="6"/>
  <c r="L41" i="6"/>
  <c r="L25" i="6"/>
  <c r="L75" i="11" l="1"/>
  <c r="L47" i="11"/>
  <c r="L59" i="11"/>
  <c r="L56" i="11"/>
  <c r="L49" i="11"/>
  <c r="L65" i="11"/>
  <c r="L102" i="11"/>
  <c r="L77" i="11"/>
  <c r="L33" i="11"/>
  <c r="L63" i="11"/>
  <c r="M25" i="11"/>
  <c r="L25" i="11"/>
  <c r="M36" i="11"/>
  <c r="L36" i="11"/>
  <c r="M40" i="11"/>
  <c r="L40" i="11"/>
  <c r="L55" i="11"/>
  <c r="L37" i="11"/>
  <c r="M35" i="11"/>
  <c r="L35" i="11"/>
  <c r="M80" i="11"/>
  <c r="L80" i="11"/>
  <c r="L30" i="11"/>
  <c r="L94" i="11"/>
  <c r="L41" i="11"/>
  <c r="L57" i="11"/>
  <c r="L27" i="11"/>
  <c r="L68" i="11"/>
  <c r="L89" i="11"/>
  <c r="L72" i="11"/>
  <c r="L71" i="11"/>
  <c r="L64" i="11"/>
  <c r="M43" i="11"/>
  <c r="L43" i="11"/>
  <c r="M97" i="11"/>
  <c r="L97" i="11"/>
  <c r="L31" i="11"/>
  <c r="L90" i="11"/>
  <c r="L45" i="11"/>
  <c r="L38" i="11"/>
  <c r="L53" i="11"/>
  <c r="Z38" i="13"/>
  <c r="AC38" i="13" s="1"/>
  <c r="Z91" i="13"/>
  <c r="AC91" i="13" s="1"/>
  <c r="Z23" i="13"/>
  <c r="AC23" i="13" s="1"/>
  <c r="Z59" i="13"/>
  <c r="AC59" i="13" s="1"/>
  <c r="Z102" i="13"/>
  <c r="AC102" i="13" s="1"/>
  <c r="Z101" i="13"/>
  <c r="AC101" i="13" s="1"/>
  <c r="Z34" i="13"/>
  <c r="AC34" i="13" s="1"/>
  <c r="AE104" i="13"/>
  <c r="AM104" i="13" s="1"/>
  <c r="AL104" i="13" s="1"/>
  <c r="N104" i="11" s="1"/>
  <c r="Z74" i="13"/>
  <c r="AC74" i="13" s="1"/>
  <c r="Z78" i="13"/>
  <c r="AC78" i="13" s="1"/>
  <c r="M60" i="6"/>
  <c r="L60" i="6"/>
  <c r="M45" i="6"/>
  <c r="L45" i="6"/>
  <c r="M69" i="6"/>
  <c r="L69" i="6"/>
  <c r="M27" i="6"/>
  <c r="L27" i="6"/>
  <c r="M28" i="6"/>
  <c r="L28" i="6"/>
  <c r="M30" i="6"/>
  <c r="L30" i="6"/>
  <c r="M70" i="6"/>
  <c r="L70" i="6"/>
  <c r="M40" i="6"/>
  <c r="L40" i="6"/>
  <c r="M61" i="6"/>
  <c r="L61" i="6"/>
  <c r="M62" i="6"/>
  <c r="L62" i="6"/>
  <c r="M57" i="6"/>
  <c r="L57" i="6"/>
  <c r="M38" i="6"/>
  <c r="L38" i="6"/>
  <c r="M35" i="6"/>
  <c r="L35" i="6"/>
  <c r="M36" i="6"/>
  <c r="L36" i="6"/>
  <c r="M46" i="6"/>
  <c r="L46" i="6"/>
  <c r="M68" i="6"/>
  <c r="L68" i="6"/>
  <c r="M66" i="6"/>
  <c r="L66" i="6"/>
  <c r="M56" i="6"/>
  <c r="L56" i="6"/>
  <c r="M32" i="6"/>
  <c r="L32" i="6"/>
  <c r="M54" i="6"/>
  <c r="L54" i="6"/>
  <c r="M48" i="6"/>
  <c r="L48" i="6"/>
  <c r="M43" i="6"/>
  <c r="L43" i="6"/>
  <c r="M53" i="6"/>
  <c r="L53" i="6"/>
  <c r="M44" i="6"/>
  <c r="L44" i="6"/>
  <c r="AJ104" i="13" l="1"/>
  <c r="AG104" i="13" s="1"/>
  <c r="AH104" i="13" s="1"/>
  <c r="AI104" i="13" s="1"/>
  <c r="AK104" i="13" l="1"/>
  <c r="G22" i="13" l="1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D22" i="11"/>
  <c r="F22" i="11" s="1"/>
  <c r="G22" i="11" s="1"/>
  <c r="C22" i="11"/>
  <c r="B22" i="11"/>
  <c r="F22" i="13" s="1"/>
  <c r="D21" i="11"/>
  <c r="F21" i="11" s="1"/>
  <c r="C21" i="11"/>
  <c r="B21" i="11"/>
  <c r="F21" i="13" s="1"/>
  <c r="D20" i="11"/>
  <c r="F20" i="11" s="1"/>
  <c r="G20" i="11" s="1"/>
  <c r="C20" i="11"/>
  <c r="B20" i="11"/>
  <c r="F20" i="13" s="1"/>
  <c r="D19" i="11"/>
  <c r="F19" i="11" s="1"/>
  <c r="G19" i="11" s="1"/>
  <c r="C19" i="11"/>
  <c r="B19" i="11"/>
  <c r="F19" i="13" s="1"/>
  <c r="D18" i="11"/>
  <c r="F18" i="11" s="1"/>
  <c r="G18" i="11" s="1"/>
  <c r="C18" i="11"/>
  <c r="B18" i="11"/>
  <c r="F18" i="13" s="1"/>
  <c r="D17" i="11"/>
  <c r="F17" i="11" s="1"/>
  <c r="C17" i="11"/>
  <c r="B17" i="11"/>
  <c r="F17" i="13" s="1"/>
  <c r="D16" i="11"/>
  <c r="F16" i="11" s="1"/>
  <c r="G16" i="11" s="1"/>
  <c r="C16" i="11"/>
  <c r="B16" i="11"/>
  <c r="F16" i="13" s="1"/>
  <c r="D15" i="11"/>
  <c r="F15" i="11" s="1"/>
  <c r="G15" i="11" s="1"/>
  <c r="C15" i="11"/>
  <c r="B15" i="11"/>
  <c r="F15" i="13" s="1"/>
  <c r="D14" i="11"/>
  <c r="F14" i="11" s="1"/>
  <c r="G14" i="11" s="1"/>
  <c r="C14" i="11"/>
  <c r="B14" i="11"/>
  <c r="F14" i="13" s="1"/>
  <c r="D13" i="11"/>
  <c r="F13" i="11" s="1"/>
  <c r="C13" i="11"/>
  <c r="B13" i="11"/>
  <c r="F13" i="13" s="1"/>
  <c r="D12" i="11"/>
  <c r="F12" i="11" s="1"/>
  <c r="G12" i="11" s="1"/>
  <c r="C12" i="11"/>
  <c r="B12" i="11"/>
  <c r="F12" i="13" s="1"/>
  <c r="D11" i="11"/>
  <c r="F11" i="11" s="1"/>
  <c r="G11" i="11" s="1"/>
  <c r="C11" i="11"/>
  <c r="B11" i="11"/>
  <c r="F11" i="13" s="1"/>
  <c r="D10" i="11"/>
  <c r="F10" i="11" s="1"/>
  <c r="G10" i="11" s="1"/>
  <c r="C10" i="11"/>
  <c r="B10" i="11"/>
  <c r="F10" i="13" s="1"/>
  <c r="D9" i="11"/>
  <c r="F9" i="11" s="1"/>
  <c r="G9" i="11" s="1"/>
  <c r="C9" i="11"/>
  <c r="B9" i="11"/>
  <c r="F9" i="13" s="1"/>
  <c r="D8" i="11"/>
  <c r="F8" i="11" s="1"/>
  <c r="G8" i="11" s="1"/>
  <c r="C8" i="11"/>
  <c r="B8" i="11"/>
  <c r="F8" i="13" s="1"/>
  <c r="M2" i="5"/>
  <c r="N23" i="5"/>
  <c r="L23" i="5"/>
  <c r="M23" i="5" s="1"/>
  <c r="R23" i="5" s="1"/>
  <c r="H23" i="5"/>
  <c r="G23" i="5"/>
  <c r="F23" i="5"/>
  <c r="N22" i="5"/>
  <c r="L22" i="5"/>
  <c r="M22" i="5" s="1"/>
  <c r="R22" i="5" s="1"/>
  <c r="H22" i="5"/>
  <c r="G22" i="5"/>
  <c r="F22" i="5"/>
  <c r="N21" i="5"/>
  <c r="L21" i="5"/>
  <c r="M21" i="5" s="1"/>
  <c r="W21" i="5" s="1"/>
  <c r="H21" i="5"/>
  <c r="G21" i="5"/>
  <c r="F21" i="5"/>
  <c r="N20" i="5"/>
  <c r="L20" i="5"/>
  <c r="M20" i="5" s="1"/>
  <c r="R20" i="5" s="1"/>
  <c r="H20" i="5"/>
  <c r="G20" i="5"/>
  <c r="F20" i="5"/>
  <c r="N19" i="5"/>
  <c r="L19" i="5"/>
  <c r="M19" i="5" s="1"/>
  <c r="W19" i="5" s="1"/>
  <c r="H19" i="5"/>
  <c r="G19" i="5"/>
  <c r="F19" i="5"/>
  <c r="N18" i="5"/>
  <c r="L18" i="5"/>
  <c r="M18" i="5" s="1"/>
  <c r="R18" i="5" s="1"/>
  <c r="H18" i="5"/>
  <c r="G18" i="5"/>
  <c r="F18" i="5"/>
  <c r="N17" i="5"/>
  <c r="L17" i="5"/>
  <c r="M17" i="5" s="1"/>
  <c r="W17" i="5" s="1"/>
  <c r="H17" i="5"/>
  <c r="G17" i="5"/>
  <c r="F17" i="5"/>
  <c r="N16" i="5"/>
  <c r="L16" i="5"/>
  <c r="M16" i="5" s="1"/>
  <c r="R16" i="5" s="1"/>
  <c r="H16" i="5"/>
  <c r="G16" i="5"/>
  <c r="F16" i="5"/>
  <c r="N15" i="5"/>
  <c r="L15" i="5"/>
  <c r="M15" i="5" s="1"/>
  <c r="R15" i="5" s="1"/>
  <c r="H15" i="5"/>
  <c r="G15" i="5"/>
  <c r="F15" i="5"/>
  <c r="N14" i="5"/>
  <c r="L14" i="5"/>
  <c r="M14" i="5" s="1"/>
  <c r="R14" i="5" s="1"/>
  <c r="H14" i="5"/>
  <c r="G14" i="5"/>
  <c r="F14" i="5"/>
  <c r="N13" i="5"/>
  <c r="L13" i="5"/>
  <c r="M13" i="5" s="1"/>
  <c r="W13" i="5" s="1"/>
  <c r="H13" i="5"/>
  <c r="G13" i="5"/>
  <c r="F13" i="5"/>
  <c r="N12" i="5"/>
  <c r="L12" i="5"/>
  <c r="M12" i="5" s="1"/>
  <c r="R12" i="5" s="1"/>
  <c r="H12" i="5"/>
  <c r="G12" i="5"/>
  <c r="F12" i="5"/>
  <c r="N11" i="5"/>
  <c r="L11" i="5"/>
  <c r="M11" i="5" s="1"/>
  <c r="W11" i="5" s="1"/>
  <c r="H11" i="5"/>
  <c r="G11" i="5"/>
  <c r="F11" i="5"/>
  <c r="N10" i="5"/>
  <c r="L10" i="5"/>
  <c r="M10" i="5" s="1"/>
  <c r="R10" i="5" s="1"/>
  <c r="H10" i="5"/>
  <c r="G10" i="5"/>
  <c r="F10" i="5"/>
  <c r="N9" i="5"/>
  <c r="L9" i="5"/>
  <c r="M9" i="5" s="1"/>
  <c r="W9" i="5" s="1"/>
  <c r="H9" i="5"/>
  <c r="G9" i="5"/>
  <c r="F9" i="5"/>
  <c r="G22" i="6"/>
  <c r="I22" i="6" s="1"/>
  <c r="G21" i="6"/>
  <c r="H21" i="6" s="1"/>
  <c r="G20" i="6"/>
  <c r="I20" i="6" s="1"/>
  <c r="G19" i="6"/>
  <c r="I19" i="6" s="1"/>
  <c r="G18" i="6"/>
  <c r="H18" i="6" s="1"/>
  <c r="G17" i="6"/>
  <c r="I17" i="6" s="1"/>
  <c r="G16" i="6"/>
  <c r="I16" i="6" s="1"/>
  <c r="G15" i="6"/>
  <c r="I15" i="6" s="1"/>
  <c r="G14" i="6"/>
  <c r="H14" i="6" s="1"/>
  <c r="G13" i="6"/>
  <c r="I13" i="6" s="1"/>
  <c r="G12" i="6"/>
  <c r="I12" i="6" s="1"/>
  <c r="G11" i="6"/>
  <c r="I11" i="6" s="1"/>
  <c r="G10" i="6"/>
  <c r="H10" i="6" s="1"/>
  <c r="G9" i="6"/>
  <c r="H9" i="6" s="1"/>
  <c r="G8" i="6"/>
  <c r="I8" i="6" s="1"/>
  <c r="A8" i="6"/>
  <c r="N22" i="13"/>
  <c r="H22" i="13"/>
  <c r="N21" i="13"/>
  <c r="H21" i="13"/>
  <c r="N20" i="13"/>
  <c r="H20" i="13"/>
  <c r="N19" i="13"/>
  <c r="H19" i="13"/>
  <c r="N18" i="13"/>
  <c r="H18" i="13"/>
  <c r="N17" i="13"/>
  <c r="H17" i="13"/>
  <c r="N16" i="13"/>
  <c r="H16" i="13"/>
  <c r="N15" i="13"/>
  <c r="H15" i="13"/>
  <c r="N14" i="13"/>
  <c r="H14" i="13"/>
  <c r="N13" i="13"/>
  <c r="H13" i="13"/>
  <c r="N12" i="13"/>
  <c r="H12" i="13"/>
  <c r="N11" i="13"/>
  <c r="H11" i="13"/>
  <c r="N10" i="13"/>
  <c r="H10" i="13"/>
  <c r="N9" i="13"/>
  <c r="H9" i="13"/>
  <c r="O78" i="5" l="1"/>
  <c r="U78" i="5" s="1"/>
  <c r="AB78" i="5" s="1"/>
  <c r="AE78" i="5" s="1"/>
  <c r="O55" i="5"/>
  <c r="U55" i="5" s="1"/>
  <c r="AB55" i="5" s="1"/>
  <c r="AE55" i="5" s="1"/>
  <c r="O53" i="5"/>
  <c r="U53" i="5" s="1"/>
  <c r="AB53" i="5" s="1"/>
  <c r="AE53" i="5" s="1"/>
  <c r="O79" i="5"/>
  <c r="U79" i="5" s="1"/>
  <c r="AB79" i="5" s="1"/>
  <c r="AE79" i="5" s="1"/>
  <c r="O93" i="5"/>
  <c r="U93" i="5" s="1"/>
  <c r="AB93" i="5" s="1"/>
  <c r="AE93" i="5" s="1"/>
  <c r="O84" i="5"/>
  <c r="U84" i="5" s="1"/>
  <c r="AB84" i="5" s="1"/>
  <c r="AE84" i="5" s="1"/>
  <c r="O45" i="5"/>
  <c r="U45" i="5" s="1"/>
  <c r="AB45" i="5" s="1"/>
  <c r="AE45" i="5" s="1"/>
  <c r="O65" i="5"/>
  <c r="U65" i="5" s="1"/>
  <c r="AB65" i="5" s="1"/>
  <c r="AE65" i="5" s="1"/>
  <c r="O75" i="5"/>
  <c r="U75" i="5" s="1"/>
  <c r="AB75" i="5" s="1"/>
  <c r="AE75" i="5" s="1"/>
  <c r="O96" i="5"/>
  <c r="U96" i="5" s="1"/>
  <c r="AB96" i="5" s="1"/>
  <c r="AE96" i="5" s="1"/>
  <c r="O43" i="5"/>
  <c r="U43" i="5" s="1"/>
  <c r="AB43" i="5" s="1"/>
  <c r="AE43" i="5" s="1"/>
  <c r="O27" i="5"/>
  <c r="U27" i="5" s="1"/>
  <c r="AB27" i="5" s="1"/>
  <c r="AE27" i="5" s="1"/>
  <c r="O54" i="5"/>
  <c r="U54" i="5" s="1"/>
  <c r="AB54" i="5" s="1"/>
  <c r="AE54" i="5" s="1"/>
  <c r="O62" i="5"/>
  <c r="U62" i="5" s="1"/>
  <c r="AB62" i="5" s="1"/>
  <c r="AE62" i="5" s="1"/>
  <c r="O89" i="5"/>
  <c r="U89" i="5" s="1"/>
  <c r="AB89" i="5" s="1"/>
  <c r="AE89" i="5" s="1"/>
  <c r="O97" i="5"/>
  <c r="U97" i="5" s="1"/>
  <c r="AB97" i="5" s="1"/>
  <c r="AE97" i="5" s="1"/>
  <c r="O98" i="5"/>
  <c r="U98" i="5" s="1"/>
  <c r="AB98" i="5" s="1"/>
  <c r="AE98" i="5" s="1"/>
  <c r="O102" i="5"/>
  <c r="U102" i="5" s="1"/>
  <c r="AB102" i="5" s="1"/>
  <c r="AE102" i="5" s="1"/>
  <c r="O59" i="5"/>
  <c r="U59" i="5" s="1"/>
  <c r="AB59" i="5" s="1"/>
  <c r="AE59" i="5" s="1"/>
  <c r="O74" i="5"/>
  <c r="U74" i="5" s="1"/>
  <c r="AB74" i="5" s="1"/>
  <c r="AE74" i="5" s="1"/>
  <c r="O44" i="5"/>
  <c r="U44" i="5" s="1"/>
  <c r="AB44" i="5" s="1"/>
  <c r="AE44" i="5" s="1"/>
  <c r="O80" i="5"/>
  <c r="U80" i="5" s="1"/>
  <c r="AB80" i="5" s="1"/>
  <c r="AE80" i="5" s="1"/>
  <c r="O70" i="5"/>
  <c r="U70" i="5" s="1"/>
  <c r="AB70" i="5" s="1"/>
  <c r="AE70" i="5" s="1"/>
  <c r="O49" i="5"/>
  <c r="U49" i="5" s="1"/>
  <c r="AB49" i="5" s="1"/>
  <c r="AE49" i="5" s="1"/>
  <c r="O69" i="5"/>
  <c r="U69" i="5" s="1"/>
  <c r="AB69" i="5" s="1"/>
  <c r="AE69" i="5" s="1"/>
  <c r="O52" i="5"/>
  <c r="U52" i="5" s="1"/>
  <c r="AB52" i="5" s="1"/>
  <c r="AE52" i="5" s="1"/>
  <c r="O30" i="5"/>
  <c r="U30" i="5" s="1"/>
  <c r="AB30" i="5" s="1"/>
  <c r="AE30" i="5" s="1"/>
  <c r="O34" i="5"/>
  <c r="U34" i="5" s="1"/>
  <c r="AB34" i="5" s="1"/>
  <c r="AE34" i="5" s="1"/>
  <c r="O38" i="5"/>
  <c r="U38" i="5" s="1"/>
  <c r="AB38" i="5" s="1"/>
  <c r="AE38" i="5" s="1"/>
  <c r="O56" i="5"/>
  <c r="U56" i="5" s="1"/>
  <c r="AB56" i="5" s="1"/>
  <c r="AE56" i="5" s="1"/>
  <c r="O100" i="5"/>
  <c r="U100" i="5" s="1"/>
  <c r="AB100" i="5" s="1"/>
  <c r="AE100" i="5" s="1"/>
  <c r="O104" i="5"/>
  <c r="U104" i="5" s="1"/>
  <c r="AB104" i="5" s="1"/>
  <c r="AE104" i="5" s="1"/>
  <c r="O81" i="5"/>
  <c r="U81" i="5" s="1"/>
  <c r="AB81" i="5" s="1"/>
  <c r="AE81" i="5" s="1"/>
  <c r="O73" i="5"/>
  <c r="U73" i="5" s="1"/>
  <c r="AB73" i="5" s="1"/>
  <c r="AE73" i="5" s="1"/>
  <c r="O42" i="5"/>
  <c r="U42" i="5" s="1"/>
  <c r="AB42" i="5" s="1"/>
  <c r="AE42" i="5" s="1"/>
  <c r="O50" i="5"/>
  <c r="U50" i="5" s="1"/>
  <c r="AB50" i="5" s="1"/>
  <c r="AE50" i="5" s="1"/>
  <c r="O33" i="5"/>
  <c r="U33" i="5" s="1"/>
  <c r="AB33" i="5" s="1"/>
  <c r="AE33" i="5" s="1"/>
  <c r="O39" i="5"/>
  <c r="U39" i="5" s="1"/>
  <c r="AB39" i="5" s="1"/>
  <c r="AE39" i="5" s="1"/>
  <c r="O64" i="5"/>
  <c r="U64" i="5" s="1"/>
  <c r="AB64" i="5" s="1"/>
  <c r="AE64" i="5" s="1"/>
  <c r="O76" i="5"/>
  <c r="U76" i="5" s="1"/>
  <c r="AB76" i="5" s="1"/>
  <c r="AE76" i="5" s="1"/>
  <c r="O86" i="5"/>
  <c r="U86" i="5" s="1"/>
  <c r="AB86" i="5" s="1"/>
  <c r="AE86" i="5" s="1"/>
  <c r="O63" i="5"/>
  <c r="U63" i="5" s="1"/>
  <c r="AB63" i="5" s="1"/>
  <c r="AE63" i="5" s="1"/>
  <c r="O72" i="5"/>
  <c r="U72" i="5" s="1"/>
  <c r="AB72" i="5" s="1"/>
  <c r="AE72" i="5" s="1"/>
  <c r="O94" i="5"/>
  <c r="U94" i="5" s="1"/>
  <c r="AB94" i="5" s="1"/>
  <c r="AE94" i="5" s="1"/>
  <c r="O67" i="5"/>
  <c r="U67" i="5" s="1"/>
  <c r="AB67" i="5" s="1"/>
  <c r="AE67" i="5" s="1"/>
  <c r="O57" i="5"/>
  <c r="U57" i="5" s="1"/>
  <c r="AB57" i="5" s="1"/>
  <c r="AE57" i="5" s="1"/>
  <c r="O71" i="5"/>
  <c r="U71" i="5" s="1"/>
  <c r="AB71" i="5" s="1"/>
  <c r="AE71" i="5" s="1"/>
  <c r="O47" i="5"/>
  <c r="U47" i="5" s="1"/>
  <c r="AB47" i="5" s="1"/>
  <c r="AE47" i="5" s="1"/>
  <c r="O58" i="5"/>
  <c r="U58" i="5" s="1"/>
  <c r="AB58" i="5" s="1"/>
  <c r="AE58" i="5" s="1"/>
  <c r="O66" i="5"/>
  <c r="U66" i="5" s="1"/>
  <c r="AB66" i="5" s="1"/>
  <c r="AE66" i="5" s="1"/>
  <c r="O60" i="5"/>
  <c r="U60" i="5" s="1"/>
  <c r="AB60" i="5" s="1"/>
  <c r="AE60" i="5" s="1"/>
  <c r="O95" i="5"/>
  <c r="U95" i="5" s="1"/>
  <c r="AB95" i="5" s="1"/>
  <c r="AE95" i="5" s="1"/>
  <c r="O77" i="5"/>
  <c r="U77" i="5" s="1"/>
  <c r="AB77" i="5" s="1"/>
  <c r="AE77" i="5" s="1"/>
  <c r="O92" i="5"/>
  <c r="U92" i="5" s="1"/>
  <c r="AB92" i="5" s="1"/>
  <c r="AE92" i="5" s="1"/>
  <c r="O105" i="5"/>
  <c r="U105" i="5" s="1"/>
  <c r="AB105" i="5" s="1"/>
  <c r="AE105" i="5" s="1"/>
  <c r="O40" i="5"/>
  <c r="U40" i="5" s="1"/>
  <c r="AB40" i="5" s="1"/>
  <c r="AE40" i="5" s="1"/>
  <c r="O83" i="5"/>
  <c r="U83" i="5" s="1"/>
  <c r="AB83" i="5" s="1"/>
  <c r="AE83" i="5" s="1"/>
  <c r="O87" i="5"/>
  <c r="U87" i="5" s="1"/>
  <c r="AB87" i="5" s="1"/>
  <c r="AE87" i="5" s="1"/>
  <c r="O68" i="5"/>
  <c r="U68" i="5" s="1"/>
  <c r="AB68" i="5" s="1"/>
  <c r="AE68" i="5" s="1"/>
  <c r="O82" i="5"/>
  <c r="U82" i="5" s="1"/>
  <c r="AB82" i="5" s="1"/>
  <c r="AE82" i="5" s="1"/>
  <c r="O88" i="5"/>
  <c r="U88" i="5" s="1"/>
  <c r="AB88" i="5" s="1"/>
  <c r="AE88" i="5" s="1"/>
  <c r="O48" i="5"/>
  <c r="U48" i="5" s="1"/>
  <c r="AB48" i="5" s="1"/>
  <c r="AE48" i="5" s="1"/>
  <c r="O85" i="5"/>
  <c r="U85" i="5" s="1"/>
  <c r="AB85" i="5" s="1"/>
  <c r="AE85" i="5" s="1"/>
  <c r="O41" i="5"/>
  <c r="U41" i="5" s="1"/>
  <c r="AB41" i="5" s="1"/>
  <c r="AE41" i="5" s="1"/>
  <c r="O61" i="5"/>
  <c r="U61" i="5" s="1"/>
  <c r="AB61" i="5" s="1"/>
  <c r="AE61" i="5" s="1"/>
  <c r="O91" i="5"/>
  <c r="U91" i="5" s="1"/>
  <c r="AB91" i="5" s="1"/>
  <c r="AE91" i="5" s="1"/>
  <c r="O26" i="5"/>
  <c r="U26" i="5" s="1"/>
  <c r="AB26" i="5" s="1"/>
  <c r="AE26" i="5" s="1"/>
  <c r="O29" i="5"/>
  <c r="U29" i="5" s="1"/>
  <c r="AB29" i="5" s="1"/>
  <c r="AE29" i="5" s="1"/>
  <c r="O28" i="5"/>
  <c r="U28" i="5" s="1"/>
  <c r="AB28" i="5" s="1"/>
  <c r="AE28" i="5" s="1"/>
  <c r="O46" i="5"/>
  <c r="U46" i="5" s="1"/>
  <c r="AB46" i="5" s="1"/>
  <c r="AE46" i="5" s="1"/>
  <c r="O31" i="5"/>
  <c r="U31" i="5" s="1"/>
  <c r="AB31" i="5" s="1"/>
  <c r="AE31" i="5" s="1"/>
  <c r="O35" i="5"/>
  <c r="U35" i="5" s="1"/>
  <c r="AB35" i="5" s="1"/>
  <c r="AE35" i="5" s="1"/>
  <c r="O37" i="5"/>
  <c r="U37" i="5" s="1"/>
  <c r="AB37" i="5" s="1"/>
  <c r="AE37" i="5" s="1"/>
  <c r="O51" i="5"/>
  <c r="U51" i="5" s="1"/>
  <c r="AB51" i="5" s="1"/>
  <c r="AE51" i="5" s="1"/>
  <c r="O99" i="5"/>
  <c r="U99" i="5" s="1"/>
  <c r="AB99" i="5" s="1"/>
  <c r="AE99" i="5" s="1"/>
  <c r="O90" i="5"/>
  <c r="U90" i="5" s="1"/>
  <c r="AB90" i="5" s="1"/>
  <c r="AE90" i="5" s="1"/>
  <c r="O32" i="5"/>
  <c r="U32" i="5" s="1"/>
  <c r="AB32" i="5" s="1"/>
  <c r="AE32" i="5" s="1"/>
  <c r="O101" i="5"/>
  <c r="U101" i="5" s="1"/>
  <c r="AB101" i="5" s="1"/>
  <c r="AE101" i="5" s="1"/>
  <c r="O25" i="5"/>
  <c r="U25" i="5" s="1"/>
  <c r="AB25" i="5" s="1"/>
  <c r="AE25" i="5" s="1"/>
  <c r="O24" i="5"/>
  <c r="U24" i="5" s="1"/>
  <c r="AB24" i="5" s="1"/>
  <c r="AE24" i="5" s="1"/>
  <c r="O36" i="5"/>
  <c r="U36" i="5" s="1"/>
  <c r="AB36" i="5" s="1"/>
  <c r="AE36" i="5" s="1"/>
  <c r="O103" i="5"/>
  <c r="U103" i="5" s="1"/>
  <c r="AB103" i="5" s="1"/>
  <c r="AE103" i="5" s="1"/>
  <c r="H8" i="11"/>
  <c r="I8" i="11"/>
  <c r="H12" i="11"/>
  <c r="I12" i="11"/>
  <c r="H16" i="11"/>
  <c r="I16" i="11"/>
  <c r="H20" i="11"/>
  <c r="I20" i="11"/>
  <c r="H11" i="11"/>
  <c r="I11" i="11"/>
  <c r="H15" i="11"/>
  <c r="I15" i="11"/>
  <c r="H19" i="11"/>
  <c r="I19" i="11"/>
  <c r="H10" i="11"/>
  <c r="I10" i="11"/>
  <c r="H14" i="11"/>
  <c r="I14" i="11"/>
  <c r="H18" i="11"/>
  <c r="I18" i="11"/>
  <c r="H22" i="11"/>
  <c r="I22" i="11"/>
  <c r="H9" i="11"/>
  <c r="I9" i="11"/>
  <c r="G13" i="11"/>
  <c r="L13" i="13"/>
  <c r="M13" i="13" s="1"/>
  <c r="P13" i="13" s="1"/>
  <c r="G17" i="11"/>
  <c r="L17" i="13"/>
  <c r="M17" i="13" s="1"/>
  <c r="T17" i="13" s="1"/>
  <c r="L21" i="13"/>
  <c r="M21" i="13" s="1"/>
  <c r="P21" i="13" s="1"/>
  <c r="G21" i="11"/>
  <c r="I18" i="6"/>
  <c r="K18" i="6" s="1"/>
  <c r="L18" i="6" s="1"/>
  <c r="X10" i="5"/>
  <c r="R17" i="5"/>
  <c r="R19" i="5"/>
  <c r="W22" i="5"/>
  <c r="I14" i="6"/>
  <c r="K14" i="6" s="1"/>
  <c r="M14" i="6" s="1"/>
  <c r="H17" i="6"/>
  <c r="K17" i="6" s="1"/>
  <c r="L17" i="6" s="1"/>
  <c r="W15" i="5"/>
  <c r="I10" i="6"/>
  <c r="K10" i="6" s="1"/>
  <c r="H13" i="6"/>
  <c r="K13" i="6" s="1"/>
  <c r="L13" i="6" s="1"/>
  <c r="X15" i="5"/>
  <c r="X12" i="5"/>
  <c r="H22" i="6"/>
  <c r="K22" i="6" s="1"/>
  <c r="W12" i="5"/>
  <c r="X17" i="5"/>
  <c r="I9" i="6"/>
  <c r="K9" i="6" s="1"/>
  <c r="I21" i="6"/>
  <c r="K21" i="6" s="1"/>
  <c r="R9" i="5"/>
  <c r="R11" i="5"/>
  <c r="W20" i="5"/>
  <c r="X9" i="5"/>
  <c r="W14" i="5"/>
  <c r="X20" i="5"/>
  <c r="W23" i="5"/>
  <c r="X18" i="5"/>
  <c r="X23" i="5"/>
  <c r="X11" i="5"/>
  <c r="R13" i="5"/>
  <c r="X14" i="5"/>
  <c r="W16" i="5"/>
  <c r="X19" i="5"/>
  <c r="R21" i="5"/>
  <c r="X22" i="5"/>
  <c r="W10" i="5"/>
  <c r="X13" i="5"/>
  <c r="X16" i="5"/>
  <c r="W18" i="5"/>
  <c r="X21" i="5"/>
  <c r="Q9" i="5"/>
  <c r="Y9" i="5"/>
  <c r="T9" i="5"/>
  <c r="P9" i="5"/>
  <c r="S9" i="5"/>
  <c r="Q11" i="5"/>
  <c r="Y11" i="5"/>
  <c r="T11" i="5"/>
  <c r="P11" i="5"/>
  <c r="S11" i="5"/>
  <c r="Q13" i="5"/>
  <c r="Y13" i="5"/>
  <c r="T13" i="5"/>
  <c r="P13" i="5"/>
  <c r="S13" i="5"/>
  <c r="Q15" i="5"/>
  <c r="Y15" i="5"/>
  <c r="T15" i="5"/>
  <c r="P15" i="5"/>
  <c r="S15" i="5"/>
  <c r="Q17" i="5"/>
  <c r="Y17" i="5"/>
  <c r="T17" i="5"/>
  <c r="P17" i="5"/>
  <c r="S17" i="5"/>
  <c r="Q19" i="5"/>
  <c r="Y19" i="5"/>
  <c r="T19" i="5"/>
  <c r="P19" i="5"/>
  <c r="S19" i="5"/>
  <c r="Q21" i="5"/>
  <c r="Y21" i="5"/>
  <c r="T21" i="5"/>
  <c r="P21" i="5"/>
  <c r="S21" i="5"/>
  <c r="Q23" i="5"/>
  <c r="Y23" i="5"/>
  <c r="T23" i="5"/>
  <c r="P23" i="5"/>
  <c r="S23" i="5"/>
  <c r="Q10" i="5"/>
  <c r="Y10" i="5"/>
  <c r="T10" i="5"/>
  <c r="P10" i="5"/>
  <c r="S10" i="5"/>
  <c r="Q12" i="5"/>
  <c r="Y12" i="5"/>
  <c r="T12" i="5"/>
  <c r="P12" i="5"/>
  <c r="S12" i="5"/>
  <c r="Q14" i="5"/>
  <c r="Y14" i="5"/>
  <c r="T14" i="5"/>
  <c r="P14" i="5"/>
  <c r="S14" i="5"/>
  <c r="Q16" i="5"/>
  <c r="Y16" i="5"/>
  <c r="T16" i="5"/>
  <c r="P16" i="5"/>
  <c r="S16" i="5"/>
  <c r="Q18" i="5"/>
  <c r="Y18" i="5"/>
  <c r="T18" i="5"/>
  <c r="P18" i="5"/>
  <c r="S18" i="5"/>
  <c r="Q20" i="5"/>
  <c r="Y20" i="5"/>
  <c r="T20" i="5"/>
  <c r="P20" i="5"/>
  <c r="S20" i="5"/>
  <c r="Q22" i="5"/>
  <c r="Y22" i="5"/>
  <c r="T22" i="5"/>
  <c r="P22" i="5"/>
  <c r="S22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H12" i="6"/>
  <c r="K12" i="6" s="1"/>
  <c r="H16" i="6"/>
  <c r="K16" i="6" s="1"/>
  <c r="M16" i="6" s="1"/>
  <c r="H20" i="6"/>
  <c r="K20" i="6" s="1"/>
  <c r="H11" i="6"/>
  <c r="K11" i="6" s="1"/>
  <c r="H15" i="6"/>
  <c r="K15" i="6" s="1"/>
  <c r="H19" i="6"/>
  <c r="K19" i="6" s="1"/>
  <c r="H8" i="6"/>
  <c r="K8" i="6" s="1"/>
  <c r="M8" i="6" s="1"/>
  <c r="L20" i="13"/>
  <c r="M20" i="13" s="1"/>
  <c r="S20" i="13" s="1"/>
  <c r="L16" i="13"/>
  <c r="M16" i="13" s="1"/>
  <c r="X16" i="13" s="1"/>
  <c r="L14" i="13"/>
  <c r="M14" i="13" s="1"/>
  <c r="W14" i="13" s="1"/>
  <c r="L18" i="13"/>
  <c r="M18" i="13" s="1"/>
  <c r="W18" i="13" s="1"/>
  <c r="L22" i="13"/>
  <c r="M22" i="13" s="1"/>
  <c r="X22" i="13" s="1"/>
  <c r="L15" i="13"/>
  <c r="M15" i="13" s="1"/>
  <c r="T15" i="13" s="1"/>
  <c r="L19" i="13"/>
  <c r="M19" i="13" s="1"/>
  <c r="L10" i="13"/>
  <c r="M10" i="13" s="1"/>
  <c r="W10" i="13" s="1"/>
  <c r="L9" i="13"/>
  <c r="M9" i="13" s="1"/>
  <c r="Y9" i="13" s="1"/>
  <c r="L11" i="13"/>
  <c r="M11" i="13" s="1"/>
  <c r="R11" i="13" s="1"/>
  <c r="L12" i="13"/>
  <c r="M12" i="13" s="1"/>
  <c r="X12" i="13" s="1"/>
  <c r="Y21" i="13"/>
  <c r="AJ24" i="5" l="1"/>
  <c r="AG24" i="5" s="1"/>
  <c r="AH24" i="5" s="1"/>
  <c r="AI24" i="5" s="1"/>
  <c r="AL24" i="5"/>
  <c r="AK24" i="5" s="1"/>
  <c r="AL90" i="5"/>
  <c r="AK90" i="5" s="1"/>
  <c r="AJ90" i="5"/>
  <c r="AG90" i="5" s="1"/>
  <c r="AH90" i="5" s="1"/>
  <c r="AI90" i="5" s="1"/>
  <c r="AJ35" i="5"/>
  <c r="AG35" i="5" s="1"/>
  <c r="AL35" i="5"/>
  <c r="AK35" i="5" s="1"/>
  <c r="AL29" i="5"/>
  <c r="AK29" i="5" s="1"/>
  <c r="AJ29" i="5"/>
  <c r="AG29" i="5" s="1"/>
  <c r="AH29" i="5" s="1"/>
  <c r="AI29" i="5" s="1"/>
  <c r="AJ41" i="5"/>
  <c r="AG41" i="5" s="1"/>
  <c r="AH41" i="5" s="1"/>
  <c r="AI41" i="5" s="1"/>
  <c r="AL41" i="5"/>
  <c r="AK41" i="5" s="1"/>
  <c r="AJ82" i="5"/>
  <c r="AG82" i="5" s="1"/>
  <c r="AL82" i="5"/>
  <c r="AK82" i="5" s="1"/>
  <c r="AL40" i="5"/>
  <c r="AK40" i="5" s="1"/>
  <c r="AJ40" i="5"/>
  <c r="AG40" i="5"/>
  <c r="AJ95" i="5"/>
  <c r="AG95" i="5" s="1"/>
  <c r="AH95" i="5" s="1"/>
  <c r="AI95" i="5" s="1"/>
  <c r="AL95" i="5"/>
  <c r="AK95" i="5" s="1"/>
  <c r="AJ47" i="5"/>
  <c r="AL47" i="5"/>
  <c r="AK47" i="5" s="1"/>
  <c r="AG47" i="5"/>
  <c r="AH47" i="5" s="1"/>
  <c r="AI47" i="5" s="1"/>
  <c r="AL94" i="5"/>
  <c r="AK94" i="5" s="1"/>
  <c r="AJ94" i="5"/>
  <c r="AG94" i="5"/>
  <c r="AL76" i="5"/>
  <c r="AK76" i="5" s="1"/>
  <c r="AJ76" i="5"/>
  <c r="AG76" i="5" s="1"/>
  <c r="AH76" i="5" s="1"/>
  <c r="AI76" i="5" s="1"/>
  <c r="AJ50" i="5"/>
  <c r="AG50" i="5" s="1"/>
  <c r="AH50" i="5" s="1"/>
  <c r="AI50" i="5" s="1"/>
  <c r="AL50" i="5"/>
  <c r="AK50" i="5" s="1"/>
  <c r="AL104" i="5"/>
  <c r="AK104" i="5" s="1"/>
  <c r="AJ104" i="5"/>
  <c r="AG104" i="5" s="1"/>
  <c r="AH104" i="5" s="1"/>
  <c r="AI104" i="5" s="1"/>
  <c r="AJ34" i="5"/>
  <c r="AG34" i="5" s="1"/>
  <c r="AH34" i="5" s="1"/>
  <c r="AI34" i="5" s="1"/>
  <c r="AL34" i="5"/>
  <c r="AK34" i="5" s="1"/>
  <c r="AL49" i="5"/>
  <c r="AK49" i="5" s="1"/>
  <c r="AJ49" i="5"/>
  <c r="AG49" i="5" s="1"/>
  <c r="AH49" i="5" s="1"/>
  <c r="AI49" i="5" s="1"/>
  <c r="AJ74" i="5"/>
  <c r="AG74" i="5" s="1"/>
  <c r="AL74" i="5"/>
  <c r="AK74" i="5" s="1"/>
  <c r="AJ97" i="5"/>
  <c r="AG97" i="5" s="1"/>
  <c r="AL97" i="5"/>
  <c r="AK97" i="5" s="1"/>
  <c r="AJ27" i="5"/>
  <c r="AL27" i="5"/>
  <c r="AK27" i="5" s="1"/>
  <c r="AG27" i="5"/>
  <c r="AH27" i="5" s="1"/>
  <c r="AI27" i="5" s="1"/>
  <c r="AL65" i="5"/>
  <c r="AK65" i="5" s="1"/>
  <c r="AJ65" i="5"/>
  <c r="AG65" i="5" s="1"/>
  <c r="AH65" i="5" s="1"/>
  <c r="AI65" i="5" s="1"/>
  <c r="AJ79" i="5"/>
  <c r="AG79" i="5" s="1"/>
  <c r="AL79" i="5"/>
  <c r="AK79" i="5" s="1"/>
  <c r="AJ25" i="5"/>
  <c r="AG25" i="5" s="1"/>
  <c r="AH25" i="5" s="1"/>
  <c r="AI25" i="5" s="1"/>
  <c r="AL25" i="5"/>
  <c r="AK25" i="5" s="1"/>
  <c r="AL99" i="5"/>
  <c r="AK99" i="5" s="1"/>
  <c r="AJ99" i="5"/>
  <c r="AG99" i="5" s="1"/>
  <c r="AL31" i="5"/>
  <c r="AK31" i="5" s="1"/>
  <c r="AJ31" i="5"/>
  <c r="AG31" i="5" s="1"/>
  <c r="AH31" i="5" s="1"/>
  <c r="AI31" i="5" s="1"/>
  <c r="AL26" i="5"/>
  <c r="AK26" i="5" s="1"/>
  <c r="AJ26" i="5"/>
  <c r="AG26" i="5" s="1"/>
  <c r="AH26" i="5" s="1"/>
  <c r="AI26" i="5" s="1"/>
  <c r="AJ85" i="5"/>
  <c r="AG85" i="5" s="1"/>
  <c r="AH85" i="5" s="1"/>
  <c r="AI85" i="5" s="1"/>
  <c r="AL85" i="5"/>
  <c r="AK85" i="5" s="1"/>
  <c r="AG68" i="5"/>
  <c r="AH68" i="5" s="1"/>
  <c r="AI68" i="5" s="1"/>
  <c r="AJ68" i="5"/>
  <c r="AL68" i="5"/>
  <c r="AK68" i="5" s="1"/>
  <c r="AJ105" i="5"/>
  <c r="AG105" i="5" s="1"/>
  <c r="AL105" i="5"/>
  <c r="AK105" i="5" s="1"/>
  <c r="AL60" i="5"/>
  <c r="AK60" i="5" s="1"/>
  <c r="AJ60" i="5"/>
  <c r="AG60" i="5" s="1"/>
  <c r="AH60" i="5" s="1"/>
  <c r="AI60" i="5" s="1"/>
  <c r="AJ71" i="5"/>
  <c r="AG71" i="5" s="1"/>
  <c r="AH71" i="5" s="1"/>
  <c r="AI71" i="5" s="1"/>
  <c r="AL71" i="5"/>
  <c r="AK71" i="5" s="1"/>
  <c r="AL72" i="5"/>
  <c r="AK72" i="5" s="1"/>
  <c r="AJ72" i="5"/>
  <c r="AG72" i="5"/>
  <c r="AL64" i="5"/>
  <c r="AK64" i="5" s="1"/>
  <c r="AJ64" i="5"/>
  <c r="AG64" i="5" s="1"/>
  <c r="AJ42" i="5"/>
  <c r="AG42" i="5" s="1"/>
  <c r="AH42" i="5" s="1"/>
  <c r="AI42" i="5" s="1"/>
  <c r="AL42" i="5"/>
  <c r="AK42" i="5" s="1"/>
  <c r="AL100" i="5"/>
  <c r="AK100" i="5" s="1"/>
  <c r="AJ100" i="5"/>
  <c r="AG100" i="5" s="1"/>
  <c r="AL30" i="5"/>
  <c r="AK30" i="5" s="1"/>
  <c r="AJ30" i="5"/>
  <c r="AG30" i="5" s="1"/>
  <c r="AH30" i="5" s="1"/>
  <c r="AI30" i="5" s="1"/>
  <c r="AL70" i="5"/>
  <c r="AK70" i="5" s="1"/>
  <c r="AJ70" i="5"/>
  <c r="AG70" i="5" s="1"/>
  <c r="AH70" i="5" s="1"/>
  <c r="AI70" i="5" s="1"/>
  <c r="AJ59" i="5"/>
  <c r="AG59" i="5" s="1"/>
  <c r="AH59" i="5" s="1"/>
  <c r="AI59" i="5" s="1"/>
  <c r="AL59" i="5"/>
  <c r="AK59" i="5" s="1"/>
  <c r="AJ89" i="5"/>
  <c r="AG89" i="5" s="1"/>
  <c r="AH89" i="5" s="1"/>
  <c r="AI89" i="5" s="1"/>
  <c r="AL89" i="5"/>
  <c r="AK89" i="5" s="1"/>
  <c r="AJ43" i="5"/>
  <c r="AG43" i="5" s="1"/>
  <c r="AH43" i="5" s="1"/>
  <c r="AI43" i="5" s="1"/>
  <c r="AL43" i="5"/>
  <c r="AK43" i="5" s="1"/>
  <c r="AL45" i="5"/>
  <c r="AK45" i="5" s="1"/>
  <c r="AJ45" i="5"/>
  <c r="AG45" i="5" s="1"/>
  <c r="AJ53" i="5"/>
  <c r="AG53" i="5" s="1"/>
  <c r="AL53" i="5"/>
  <c r="AK53" i="5" s="1"/>
  <c r="AL103" i="5"/>
  <c r="AK103" i="5" s="1"/>
  <c r="AJ103" i="5"/>
  <c r="AG103" i="5" s="1"/>
  <c r="AL101" i="5"/>
  <c r="AK101" i="5" s="1"/>
  <c r="AJ101" i="5"/>
  <c r="AG101" i="5"/>
  <c r="AL51" i="5"/>
  <c r="AK51" i="5" s="1"/>
  <c r="AJ51" i="5"/>
  <c r="AG51" i="5" s="1"/>
  <c r="AH51" i="5" s="1"/>
  <c r="AI51" i="5" s="1"/>
  <c r="AL46" i="5"/>
  <c r="AK46" i="5" s="1"/>
  <c r="AJ46" i="5"/>
  <c r="AG46" i="5" s="1"/>
  <c r="AH46" i="5" s="1"/>
  <c r="AI46" i="5" s="1"/>
  <c r="AJ91" i="5"/>
  <c r="AG91" i="5" s="1"/>
  <c r="AH91" i="5" s="1"/>
  <c r="AI91" i="5" s="1"/>
  <c r="AL91" i="5"/>
  <c r="AK91" i="5" s="1"/>
  <c r="AL48" i="5"/>
  <c r="AK48" i="5" s="1"/>
  <c r="AJ48" i="5"/>
  <c r="AG48" i="5" s="1"/>
  <c r="AH48" i="5" s="1"/>
  <c r="AI48" i="5" s="1"/>
  <c r="AL87" i="5"/>
  <c r="AK87" i="5" s="1"/>
  <c r="AJ87" i="5"/>
  <c r="AG87" i="5"/>
  <c r="AH87" i="5" s="1"/>
  <c r="AI87" i="5" s="1"/>
  <c r="AJ92" i="5"/>
  <c r="AG92" i="5" s="1"/>
  <c r="AL92" i="5"/>
  <c r="AK92" i="5" s="1"/>
  <c r="AJ66" i="5"/>
  <c r="AG66" i="5" s="1"/>
  <c r="AH66" i="5" s="1"/>
  <c r="AI66" i="5" s="1"/>
  <c r="AL66" i="5"/>
  <c r="AK66" i="5" s="1"/>
  <c r="AL57" i="5"/>
  <c r="AK57" i="5" s="1"/>
  <c r="AJ57" i="5"/>
  <c r="AG57" i="5" s="1"/>
  <c r="AL63" i="5"/>
  <c r="AK63" i="5" s="1"/>
  <c r="AJ63" i="5"/>
  <c r="AG63" i="5" s="1"/>
  <c r="AH63" i="5" s="1"/>
  <c r="AI63" i="5" s="1"/>
  <c r="AG39" i="5"/>
  <c r="AH39" i="5" s="1"/>
  <c r="AI39" i="5" s="1"/>
  <c r="AJ39" i="5"/>
  <c r="AL39" i="5"/>
  <c r="AK39" i="5" s="1"/>
  <c r="AJ73" i="5"/>
  <c r="AG73" i="5" s="1"/>
  <c r="AL73" i="5"/>
  <c r="AK73" i="5" s="1"/>
  <c r="AL56" i="5"/>
  <c r="AK56" i="5" s="1"/>
  <c r="AJ56" i="5"/>
  <c r="AG56" i="5" s="1"/>
  <c r="AH56" i="5" s="1"/>
  <c r="AI56" i="5" s="1"/>
  <c r="AJ52" i="5"/>
  <c r="AG52" i="5" s="1"/>
  <c r="AH52" i="5" s="1"/>
  <c r="AI52" i="5" s="1"/>
  <c r="AL52" i="5"/>
  <c r="AK52" i="5" s="1"/>
  <c r="AJ80" i="5"/>
  <c r="AG80" i="5" s="1"/>
  <c r="AH80" i="5" s="1"/>
  <c r="AI80" i="5" s="1"/>
  <c r="AL80" i="5"/>
  <c r="AK80" i="5" s="1"/>
  <c r="AJ102" i="5"/>
  <c r="AG102" i="5" s="1"/>
  <c r="AH102" i="5" s="1"/>
  <c r="AI102" i="5" s="1"/>
  <c r="AL102" i="5"/>
  <c r="AK102" i="5" s="1"/>
  <c r="AJ62" i="5"/>
  <c r="AG62" i="5" s="1"/>
  <c r="AH62" i="5" s="1"/>
  <c r="AI62" i="5" s="1"/>
  <c r="AL62" i="5"/>
  <c r="AK62" i="5" s="1"/>
  <c r="AL96" i="5"/>
  <c r="AK96" i="5" s="1"/>
  <c r="AJ96" i="5"/>
  <c r="AG96" i="5" s="1"/>
  <c r="AH96" i="5" s="1"/>
  <c r="AI96" i="5" s="1"/>
  <c r="AL84" i="5"/>
  <c r="AK84" i="5" s="1"/>
  <c r="AJ84" i="5"/>
  <c r="AG84" i="5" s="1"/>
  <c r="AH84" i="5" s="1"/>
  <c r="AI84" i="5" s="1"/>
  <c r="AJ55" i="5"/>
  <c r="AG55" i="5" s="1"/>
  <c r="AH55" i="5" s="1"/>
  <c r="AI55" i="5" s="1"/>
  <c r="AL55" i="5"/>
  <c r="AK55" i="5" s="1"/>
  <c r="AJ36" i="5"/>
  <c r="AG36" i="5" s="1"/>
  <c r="AH36" i="5" s="1"/>
  <c r="AI36" i="5" s="1"/>
  <c r="AL36" i="5"/>
  <c r="AK36" i="5" s="1"/>
  <c r="AJ32" i="5"/>
  <c r="AG32" i="5" s="1"/>
  <c r="AH32" i="5" s="1"/>
  <c r="AI32" i="5" s="1"/>
  <c r="AL32" i="5"/>
  <c r="AK32" i="5" s="1"/>
  <c r="AL37" i="5"/>
  <c r="AK37" i="5" s="1"/>
  <c r="AJ37" i="5"/>
  <c r="AG37" i="5" s="1"/>
  <c r="AL28" i="5"/>
  <c r="AK28" i="5" s="1"/>
  <c r="AJ28" i="5"/>
  <c r="AG28" i="5" s="1"/>
  <c r="AJ61" i="5"/>
  <c r="AG61" i="5" s="1"/>
  <c r="AH61" i="5" s="1"/>
  <c r="AI61" i="5" s="1"/>
  <c r="AL61" i="5"/>
  <c r="AK61" i="5" s="1"/>
  <c r="AJ88" i="5"/>
  <c r="AG88" i="5" s="1"/>
  <c r="AH88" i="5" s="1"/>
  <c r="AI88" i="5" s="1"/>
  <c r="AL88" i="5"/>
  <c r="AK88" i="5" s="1"/>
  <c r="AL83" i="5"/>
  <c r="AK83" i="5" s="1"/>
  <c r="AJ83" i="5"/>
  <c r="AG83" i="5" s="1"/>
  <c r="AH83" i="5" s="1"/>
  <c r="AI83" i="5" s="1"/>
  <c r="AL77" i="5"/>
  <c r="AK77" i="5" s="1"/>
  <c r="AJ77" i="5"/>
  <c r="AG77" i="5" s="1"/>
  <c r="AH77" i="5" s="1"/>
  <c r="AI77" i="5" s="1"/>
  <c r="AL58" i="5"/>
  <c r="AK58" i="5" s="1"/>
  <c r="AJ58" i="5"/>
  <c r="AG58" i="5" s="1"/>
  <c r="AJ67" i="5"/>
  <c r="AG67" i="5"/>
  <c r="AH67" i="5" s="1"/>
  <c r="AI67" i="5" s="1"/>
  <c r="AL67" i="5"/>
  <c r="AK67" i="5" s="1"/>
  <c r="AL86" i="5"/>
  <c r="AK86" i="5" s="1"/>
  <c r="AJ86" i="5"/>
  <c r="AG86" i="5" s="1"/>
  <c r="AH86" i="5" s="1"/>
  <c r="AI86" i="5" s="1"/>
  <c r="AL33" i="5"/>
  <c r="AK33" i="5" s="1"/>
  <c r="AJ33" i="5"/>
  <c r="AG33" i="5" s="1"/>
  <c r="AH33" i="5" s="1"/>
  <c r="AI33" i="5" s="1"/>
  <c r="AL81" i="5"/>
  <c r="AK81" i="5" s="1"/>
  <c r="AJ81" i="5"/>
  <c r="AG81" i="5" s="1"/>
  <c r="AH81" i="5" s="1"/>
  <c r="AI81" i="5" s="1"/>
  <c r="AL38" i="5"/>
  <c r="AK38" i="5" s="1"/>
  <c r="AJ38" i="5"/>
  <c r="AG38" i="5" s="1"/>
  <c r="AH38" i="5" s="1"/>
  <c r="AI38" i="5" s="1"/>
  <c r="AL69" i="5"/>
  <c r="AK69" i="5" s="1"/>
  <c r="AJ69" i="5"/>
  <c r="AG69" i="5" s="1"/>
  <c r="AJ44" i="5"/>
  <c r="AG44" i="5" s="1"/>
  <c r="AL44" i="5"/>
  <c r="AK44" i="5" s="1"/>
  <c r="AJ98" i="5"/>
  <c r="AG98" i="5" s="1"/>
  <c r="AL98" i="5"/>
  <c r="AK98" i="5" s="1"/>
  <c r="AG54" i="5"/>
  <c r="AJ54" i="5"/>
  <c r="AL54" i="5"/>
  <c r="AK54" i="5" s="1"/>
  <c r="AJ75" i="5"/>
  <c r="AG75" i="5" s="1"/>
  <c r="AH75" i="5" s="1"/>
  <c r="AI75" i="5" s="1"/>
  <c r="AL75" i="5"/>
  <c r="AK75" i="5" s="1"/>
  <c r="AL93" i="5"/>
  <c r="AK93" i="5" s="1"/>
  <c r="AJ93" i="5"/>
  <c r="AG93" i="5" s="1"/>
  <c r="AH93" i="5" s="1"/>
  <c r="AI93" i="5" s="1"/>
  <c r="AJ78" i="5"/>
  <c r="AG78" i="5" s="1"/>
  <c r="AH78" i="5" s="1"/>
  <c r="AI78" i="5" s="1"/>
  <c r="AL78" i="5"/>
  <c r="AK78" i="5" s="1"/>
  <c r="S13" i="13"/>
  <c r="T13" i="13"/>
  <c r="K16" i="11"/>
  <c r="M16" i="11" s="1"/>
  <c r="K8" i="11"/>
  <c r="M8" i="11" s="1"/>
  <c r="J9" i="11"/>
  <c r="J20" i="11"/>
  <c r="J12" i="11"/>
  <c r="X17" i="13"/>
  <c r="X20" i="13"/>
  <c r="W21" i="13"/>
  <c r="T21" i="13"/>
  <c r="S21" i="13"/>
  <c r="Q21" i="13"/>
  <c r="AD21" i="13"/>
  <c r="R21" i="13"/>
  <c r="Y13" i="13"/>
  <c r="X21" i="13"/>
  <c r="Y17" i="13"/>
  <c r="S17" i="13"/>
  <c r="Q17" i="13"/>
  <c r="K10" i="11"/>
  <c r="M10" i="11" s="1"/>
  <c r="AD17" i="13"/>
  <c r="R17" i="13"/>
  <c r="P20" i="13"/>
  <c r="J22" i="11"/>
  <c r="J14" i="11"/>
  <c r="J19" i="11"/>
  <c r="J11" i="11"/>
  <c r="K18" i="11"/>
  <c r="M18" i="11" s="1"/>
  <c r="K15" i="11"/>
  <c r="M15" i="11" s="1"/>
  <c r="P17" i="13"/>
  <c r="Q20" i="13"/>
  <c r="W17" i="13"/>
  <c r="AD20" i="13"/>
  <c r="H13" i="11"/>
  <c r="I13" i="11"/>
  <c r="K22" i="11"/>
  <c r="M22" i="11" s="1"/>
  <c r="J10" i="11"/>
  <c r="J15" i="11"/>
  <c r="K11" i="11"/>
  <c r="M11" i="11" s="1"/>
  <c r="K20" i="11"/>
  <c r="M20" i="11" s="1"/>
  <c r="J8" i="11"/>
  <c r="R13" i="13"/>
  <c r="AD13" i="13"/>
  <c r="H21" i="11"/>
  <c r="I21" i="11"/>
  <c r="Q13" i="13"/>
  <c r="W13" i="13"/>
  <c r="X13" i="13"/>
  <c r="H17" i="11"/>
  <c r="I17" i="11"/>
  <c r="K9" i="11"/>
  <c r="J18" i="11"/>
  <c r="L18" i="11" s="1"/>
  <c r="K14" i="11"/>
  <c r="K19" i="11"/>
  <c r="J16" i="11"/>
  <c r="K12" i="11"/>
  <c r="Z19" i="5"/>
  <c r="AC19" i="5" s="1"/>
  <c r="S22" i="13"/>
  <c r="AD18" i="13"/>
  <c r="Z17" i="5"/>
  <c r="AC17" i="5" s="1"/>
  <c r="Z15" i="5"/>
  <c r="AC15" i="5" s="1"/>
  <c r="Z11" i="5"/>
  <c r="AC11" i="5" s="1"/>
  <c r="Z23" i="5"/>
  <c r="AC23" i="5" s="1"/>
  <c r="Z12" i="5"/>
  <c r="AC12" i="5" s="1"/>
  <c r="Z13" i="5"/>
  <c r="AC13" i="5" s="1"/>
  <c r="Z9" i="5"/>
  <c r="AC9" i="5" s="1"/>
  <c r="L10" i="6"/>
  <c r="M10" i="6" s="1"/>
  <c r="L14" i="6"/>
  <c r="Z21" i="5"/>
  <c r="AC21" i="5" s="1"/>
  <c r="Z10" i="5"/>
  <c r="AC10" i="5" s="1"/>
  <c r="M17" i="6"/>
  <c r="Z22" i="5"/>
  <c r="AC22" i="5" s="1"/>
  <c r="L22" i="6"/>
  <c r="M22" i="6" s="1"/>
  <c r="Z18" i="5"/>
  <c r="AC18" i="5" s="1"/>
  <c r="M18" i="6"/>
  <c r="M13" i="6"/>
  <c r="L21" i="6"/>
  <c r="M21" i="6" s="1"/>
  <c r="M9" i="6"/>
  <c r="L9" i="6"/>
  <c r="L11" i="6"/>
  <c r="M11" i="6" s="1"/>
  <c r="L16" i="6"/>
  <c r="Z16" i="5"/>
  <c r="AC16" i="5" s="1"/>
  <c r="Z20" i="5"/>
  <c r="AC20" i="5" s="1"/>
  <c r="Y20" i="13"/>
  <c r="T20" i="13"/>
  <c r="X15" i="13"/>
  <c r="W20" i="13"/>
  <c r="R20" i="13"/>
  <c r="Q22" i="13"/>
  <c r="Y22" i="13"/>
  <c r="Z14" i="5"/>
  <c r="AC14" i="5" s="1"/>
  <c r="AD22" i="13"/>
  <c r="W22" i="13"/>
  <c r="T22" i="13"/>
  <c r="R22" i="13"/>
  <c r="P22" i="13"/>
  <c r="T14" i="13"/>
  <c r="L19" i="6"/>
  <c r="M19" i="6" s="1"/>
  <c r="L12" i="6"/>
  <c r="M12" i="6" s="1"/>
  <c r="L15" i="6"/>
  <c r="M15" i="6" s="1"/>
  <c r="L20" i="6"/>
  <c r="M20" i="6" s="1"/>
  <c r="L8" i="6"/>
  <c r="Y11" i="13"/>
  <c r="Y10" i="13"/>
  <c r="S18" i="13"/>
  <c r="Y18" i="13"/>
  <c r="Q18" i="13"/>
  <c r="R18" i="13"/>
  <c r="X18" i="13"/>
  <c r="Q16" i="13"/>
  <c r="P16" i="13"/>
  <c r="S16" i="13"/>
  <c r="W16" i="13"/>
  <c r="W19" i="13"/>
  <c r="T19" i="13"/>
  <c r="T18" i="13"/>
  <c r="R16" i="13"/>
  <c r="Y16" i="13"/>
  <c r="P18" i="13"/>
  <c r="T16" i="13"/>
  <c r="AD16" i="13"/>
  <c r="AD12" i="13"/>
  <c r="X19" i="13"/>
  <c r="Q15" i="13"/>
  <c r="S15" i="13"/>
  <c r="W15" i="13"/>
  <c r="Y15" i="13"/>
  <c r="R15" i="13"/>
  <c r="AD15" i="13"/>
  <c r="P9" i="13"/>
  <c r="S9" i="13"/>
  <c r="T9" i="13"/>
  <c r="P15" i="13"/>
  <c r="R10" i="13"/>
  <c r="AD11" i="13"/>
  <c r="T10" i="13"/>
  <c r="P11" i="13"/>
  <c r="X11" i="13"/>
  <c r="Q10" i="13"/>
  <c r="P10" i="13"/>
  <c r="T11" i="13"/>
  <c r="P12" i="13"/>
  <c r="S10" i="13"/>
  <c r="X10" i="13"/>
  <c r="Z10" i="13" s="1"/>
  <c r="AC10" i="13" s="1"/>
  <c r="Y12" i="13"/>
  <c r="S11" i="13"/>
  <c r="Q11" i="13"/>
  <c r="AD10" i="13"/>
  <c r="W11" i="13"/>
  <c r="R14" i="13"/>
  <c r="P14" i="13"/>
  <c r="Y14" i="13"/>
  <c r="X9" i="13"/>
  <c r="Q9" i="13"/>
  <c r="Y19" i="13"/>
  <c r="AD9" i="13"/>
  <c r="R19" i="13"/>
  <c r="AD14" i="13"/>
  <c r="R9" i="13"/>
  <c r="S19" i="13"/>
  <c r="Q19" i="13"/>
  <c r="S14" i="13"/>
  <c r="X14" i="13"/>
  <c r="AD19" i="13"/>
  <c r="Q14" i="13"/>
  <c r="W9" i="13"/>
  <c r="P19" i="13"/>
  <c r="Q12" i="13"/>
  <c r="S12" i="13"/>
  <c r="W12" i="13"/>
  <c r="T12" i="13"/>
  <c r="R12" i="13"/>
  <c r="AH44" i="5" l="1"/>
  <c r="AI44" i="5"/>
  <c r="AH92" i="5"/>
  <c r="AI92" i="5" s="1"/>
  <c r="AH98" i="5"/>
  <c r="AI98" i="5" s="1"/>
  <c r="AH100" i="5"/>
  <c r="AI100" i="5"/>
  <c r="AH73" i="5"/>
  <c r="AI73" i="5" s="1"/>
  <c r="AH103" i="5"/>
  <c r="AI103" i="5"/>
  <c r="AH69" i="5"/>
  <c r="AI69" i="5" s="1"/>
  <c r="AH72" i="5"/>
  <c r="AI72" i="5" s="1"/>
  <c r="AH74" i="5"/>
  <c r="AI74" i="5" s="1"/>
  <c r="AH94" i="5"/>
  <c r="AI94" i="5"/>
  <c r="AH40" i="5"/>
  <c r="AI40" i="5"/>
  <c r="AH82" i="5"/>
  <c r="AI82" i="5" s="1"/>
  <c r="AH54" i="5"/>
  <c r="AI54" i="5" s="1"/>
  <c r="AH28" i="5"/>
  <c r="AI28" i="5" s="1"/>
  <c r="AH101" i="5"/>
  <c r="AI101" i="5" s="1"/>
  <c r="AH58" i="5"/>
  <c r="AI58" i="5"/>
  <c r="AH57" i="5"/>
  <c r="AI57" i="5" s="1"/>
  <c r="AH105" i="5"/>
  <c r="AI105" i="5" s="1"/>
  <c r="AH99" i="5"/>
  <c r="AI99" i="5"/>
  <c r="AH37" i="5"/>
  <c r="AI37" i="5" s="1"/>
  <c r="AH53" i="5"/>
  <c r="AI53" i="5"/>
  <c r="AH45" i="5"/>
  <c r="AI45" i="5" s="1"/>
  <c r="AH64" i="5"/>
  <c r="AI64" i="5"/>
  <c r="AH79" i="5"/>
  <c r="AI79" i="5" s="1"/>
  <c r="AH97" i="5"/>
  <c r="AI97" i="5"/>
  <c r="AH35" i="5"/>
  <c r="AI35" i="5" s="1"/>
  <c r="L16" i="11"/>
  <c r="L8" i="11"/>
  <c r="Z21" i="13"/>
  <c r="AC21" i="13" s="1"/>
  <c r="L15" i="11"/>
  <c r="L10" i="11"/>
  <c r="Z17" i="13"/>
  <c r="AC17" i="13" s="1"/>
  <c r="Z18" i="13"/>
  <c r="AC18" i="13" s="1"/>
  <c r="K21" i="11"/>
  <c r="M21" i="11" s="1"/>
  <c r="Z13" i="13"/>
  <c r="AC13" i="13" s="1"/>
  <c r="J13" i="11"/>
  <c r="L22" i="11"/>
  <c r="Z20" i="13"/>
  <c r="AC20" i="13" s="1"/>
  <c r="Z22" i="13"/>
  <c r="AC22" i="13" s="1"/>
  <c r="Z11" i="13"/>
  <c r="AC11" i="13" s="1"/>
  <c r="K17" i="11"/>
  <c r="M17" i="11" s="1"/>
  <c r="Z12" i="13"/>
  <c r="AC12" i="13" s="1"/>
  <c r="Z16" i="13"/>
  <c r="AC16" i="13" s="1"/>
  <c r="M12" i="11"/>
  <c r="L12" i="11"/>
  <c r="M9" i="11"/>
  <c r="L9" i="11"/>
  <c r="M14" i="11"/>
  <c r="L14" i="11"/>
  <c r="J17" i="11"/>
  <c r="L20" i="11"/>
  <c r="Z9" i="13"/>
  <c r="AC9" i="13" s="1"/>
  <c r="Z19" i="13"/>
  <c r="AC19" i="13" s="1"/>
  <c r="J21" i="11"/>
  <c r="L21" i="11" s="1"/>
  <c r="K13" i="11"/>
  <c r="M13" i="11" s="1"/>
  <c r="L11" i="11"/>
  <c r="M19" i="11"/>
  <c r="L19" i="11"/>
  <c r="Z15" i="13"/>
  <c r="AC15" i="13" s="1"/>
  <c r="Z14" i="13"/>
  <c r="AC14" i="13" s="1"/>
  <c r="L17" i="11" l="1"/>
  <c r="L13" i="11"/>
  <c r="G7" i="13" l="1"/>
  <c r="G8" i="5"/>
  <c r="N8" i="13" l="1"/>
  <c r="H8" i="13"/>
  <c r="D7" i="11"/>
  <c r="C7" i="11"/>
  <c r="B7" i="11"/>
  <c r="L8" i="5"/>
  <c r="M8" i="5" s="1"/>
  <c r="F8" i="5"/>
  <c r="O7" i="6"/>
  <c r="P7" i="6" s="1"/>
  <c r="Q7" i="6" s="1"/>
  <c r="G7" i="6"/>
  <c r="I7" i="6" l="1"/>
  <c r="H7" i="6"/>
  <c r="L8" i="13"/>
  <c r="AD8" i="13" s="1"/>
  <c r="N8" i="5"/>
  <c r="H8" i="5"/>
  <c r="AD8" i="5" s="1"/>
  <c r="AD107" i="5" s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R2" i="5" l="1"/>
  <c r="K7" i="6"/>
  <c r="M8" i="13"/>
  <c r="S8" i="13" s="1"/>
  <c r="S8" i="5"/>
  <c r="S107" i="5" s="1"/>
  <c r="Y8" i="5"/>
  <c r="Y107" i="5" s="1"/>
  <c r="W8" i="5"/>
  <c r="W107" i="5" s="1"/>
  <c r="R8" i="5"/>
  <c r="R107" i="5" s="1"/>
  <c r="Q8" i="5"/>
  <c r="Q107" i="5" s="1"/>
  <c r="P8" i="5"/>
  <c r="P107" i="5" s="1"/>
  <c r="T8" i="5"/>
  <c r="T107" i="5" s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R3" i="5" l="1"/>
  <c r="L7" i="6"/>
  <c r="P8" i="13"/>
  <c r="Q8" i="13"/>
  <c r="W8" i="13"/>
  <c r="Y8" i="13"/>
  <c r="T8" i="13"/>
  <c r="R8" i="13"/>
  <c r="M7" i="6"/>
  <c r="C34" i="7" l="1"/>
  <c r="B35" i="7" s="1"/>
  <c r="C33" i="7"/>
  <c r="B34" i="7" s="1"/>
  <c r="C32" i="7"/>
  <c r="B33" i="7" s="1"/>
  <c r="C31" i="7"/>
  <c r="B32" i="7" s="1"/>
  <c r="C30" i="7"/>
  <c r="B31" i="7" s="1"/>
  <c r="C29" i="7"/>
  <c r="B30" i="7" s="1"/>
  <c r="H9" i="7"/>
  <c r="H7" i="7"/>
  <c r="H5" i="7"/>
  <c r="H6" i="7" s="1"/>
  <c r="H7" i="13"/>
  <c r="M2" i="13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N7" i="13"/>
  <c r="A2" i="11"/>
  <c r="F7" i="13"/>
  <c r="O52" i="13" l="1"/>
  <c r="U52" i="13" s="1"/>
  <c r="AB52" i="13" s="1"/>
  <c r="AE52" i="13" s="1"/>
  <c r="O76" i="13"/>
  <c r="U76" i="13" s="1"/>
  <c r="AB76" i="13" s="1"/>
  <c r="AE76" i="13" s="1"/>
  <c r="O53" i="13"/>
  <c r="U53" i="13" s="1"/>
  <c r="AB53" i="13" s="1"/>
  <c r="AE53" i="13" s="1"/>
  <c r="O94" i="13"/>
  <c r="U94" i="13" s="1"/>
  <c r="AB94" i="13" s="1"/>
  <c r="AE94" i="13" s="1"/>
  <c r="O28" i="13"/>
  <c r="U28" i="13" s="1"/>
  <c r="AB28" i="13" s="1"/>
  <c r="AE28" i="13" s="1"/>
  <c r="O50" i="13"/>
  <c r="U50" i="13" s="1"/>
  <c r="AB50" i="13" s="1"/>
  <c r="AE50" i="13" s="1"/>
  <c r="O80" i="13"/>
  <c r="U80" i="13" s="1"/>
  <c r="AB80" i="13" s="1"/>
  <c r="AE80" i="13" s="1"/>
  <c r="O96" i="13"/>
  <c r="U96" i="13" s="1"/>
  <c r="AB96" i="13" s="1"/>
  <c r="AE96" i="13" s="1"/>
  <c r="O60" i="13"/>
  <c r="U60" i="13" s="1"/>
  <c r="AB60" i="13" s="1"/>
  <c r="AE60" i="13" s="1"/>
  <c r="O40" i="13"/>
  <c r="U40" i="13" s="1"/>
  <c r="AB40" i="13" s="1"/>
  <c r="AE40" i="13" s="1"/>
  <c r="O68" i="13"/>
  <c r="U68" i="13" s="1"/>
  <c r="AB68" i="13" s="1"/>
  <c r="AE68" i="13" s="1"/>
  <c r="O103" i="13"/>
  <c r="U103" i="13" s="1"/>
  <c r="AB103" i="13" s="1"/>
  <c r="AE103" i="13" s="1"/>
  <c r="O24" i="13"/>
  <c r="U24" i="13" s="1"/>
  <c r="AB24" i="13" s="1"/>
  <c r="AE24" i="13" s="1"/>
  <c r="O30" i="13"/>
  <c r="U30" i="13" s="1"/>
  <c r="AB30" i="13" s="1"/>
  <c r="AE30" i="13" s="1"/>
  <c r="O45" i="13"/>
  <c r="U45" i="13" s="1"/>
  <c r="AB45" i="13" s="1"/>
  <c r="AE45" i="13" s="1"/>
  <c r="O61" i="13"/>
  <c r="U61" i="13" s="1"/>
  <c r="AB61" i="13" s="1"/>
  <c r="AE61" i="13" s="1"/>
  <c r="O58" i="13"/>
  <c r="U58" i="13" s="1"/>
  <c r="AB58" i="13" s="1"/>
  <c r="AE58" i="13" s="1"/>
  <c r="O70" i="13"/>
  <c r="U70" i="13" s="1"/>
  <c r="AB70" i="13" s="1"/>
  <c r="AE70" i="13" s="1"/>
  <c r="O59" i="13"/>
  <c r="U59" i="13" s="1"/>
  <c r="AB59" i="13" s="1"/>
  <c r="AE59" i="13" s="1"/>
  <c r="O81" i="13"/>
  <c r="U81" i="13" s="1"/>
  <c r="AB81" i="13" s="1"/>
  <c r="AE81" i="13" s="1"/>
  <c r="O84" i="13"/>
  <c r="U84" i="13" s="1"/>
  <c r="AB84" i="13" s="1"/>
  <c r="AE84" i="13" s="1"/>
  <c r="O77" i="13"/>
  <c r="U77" i="13" s="1"/>
  <c r="AB77" i="13" s="1"/>
  <c r="AE77" i="13" s="1"/>
  <c r="O99" i="13"/>
  <c r="U99" i="13" s="1"/>
  <c r="AB99" i="13" s="1"/>
  <c r="AE99" i="13" s="1"/>
  <c r="O102" i="13"/>
  <c r="U102" i="13" s="1"/>
  <c r="AB102" i="13" s="1"/>
  <c r="AE102" i="13" s="1"/>
  <c r="O48" i="13"/>
  <c r="U48" i="13" s="1"/>
  <c r="AB48" i="13" s="1"/>
  <c r="AE48" i="13" s="1"/>
  <c r="O23" i="13"/>
  <c r="U23" i="13" s="1"/>
  <c r="AB23" i="13" s="1"/>
  <c r="AE23" i="13" s="1"/>
  <c r="O31" i="13"/>
  <c r="U31" i="13" s="1"/>
  <c r="AB31" i="13" s="1"/>
  <c r="AE31" i="13" s="1"/>
  <c r="O69" i="13"/>
  <c r="U69" i="13" s="1"/>
  <c r="AB69" i="13" s="1"/>
  <c r="AE69" i="13" s="1"/>
  <c r="O54" i="13"/>
  <c r="U54" i="13" s="1"/>
  <c r="AB54" i="13" s="1"/>
  <c r="AE54" i="13" s="1"/>
  <c r="O66" i="13"/>
  <c r="U66" i="13" s="1"/>
  <c r="AB66" i="13" s="1"/>
  <c r="AE66" i="13" s="1"/>
  <c r="O73" i="13"/>
  <c r="U73" i="13" s="1"/>
  <c r="AB73" i="13" s="1"/>
  <c r="AE73" i="13" s="1"/>
  <c r="O93" i="13"/>
  <c r="U93" i="13" s="1"/>
  <c r="AB93" i="13" s="1"/>
  <c r="AE93" i="13" s="1"/>
  <c r="O92" i="13"/>
  <c r="U92" i="13" s="1"/>
  <c r="AB92" i="13" s="1"/>
  <c r="AE92" i="13" s="1"/>
  <c r="O95" i="13"/>
  <c r="U95" i="13" s="1"/>
  <c r="AB95" i="13" s="1"/>
  <c r="AE95" i="13" s="1"/>
  <c r="O87" i="13"/>
  <c r="U87" i="13" s="1"/>
  <c r="AB87" i="13" s="1"/>
  <c r="AE87" i="13" s="1"/>
  <c r="O89" i="13"/>
  <c r="U89" i="13" s="1"/>
  <c r="AB89" i="13" s="1"/>
  <c r="AE89" i="13" s="1"/>
  <c r="O82" i="13"/>
  <c r="U82" i="13" s="1"/>
  <c r="AB82" i="13" s="1"/>
  <c r="AE82" i="13" s="1"/>
  <c r="O86" i="13"/>
  <c r="U86" i="13" s="1"/>
  <c r="AB86" i="13" s="1"/>
  <c r="AE86" i="13" s="1"/>
  <c r="O64" i="13"/>
  <c r="U64" i="13" s="1"/>
  <c r="AB64" i="13" s="1"/>
  <c r="AE64" i="13" s="1"/>
  <c r="O56" i="13"/>
  <c r="U56" i="13" s="1"/>
  <c r="AB56" i="13" s="1"/>
  <c r="AE56" i="13" s="1"/>
  <c r="O98" i="13"/>
  <c r="U98" i="13" s="1"/>
  <c r="AB98" i="13" s="1"/>
  <c r="AE98" i="13" s="1"/>
  <c r="O97" i="13"/>
  <c r="U97" i="13" s="1"/>
  <c r="AB97" i="13" s="1"/>
  <c r="AE97" i="13" s="1"/>
  <c r="O101" i="13"/>
  <c r="U101" i="13" s="1"/>
  <c r="AB101" i="13" s="1"/>
  <c r="AE101" i="13" s="1"/>
  <c r="O42" i="13"/>
  <c r="U42" i="13" s="1"/>
  <c r="AB42" i="13" s="1"/>
  <c r="AE42" i="13" s="1"/>
  <c r="O44" i="13"/>
  <c r="U44" i="13" s="1"/>
  <c r="AB44" i="13" s="1"/>
  <c r="AE44" i="13" s="1"/>
  <c r="O27" i="13"/>
  <c r="U27" i="13" s="1"/>
  <c r="AB27" i="13" s="1"/>
  <c r="AE27" i="13" s="1"/>
  <c r="O57" i="13"/>
  <c r="U57" i="13" s="1"/>
  <c r="AB57" i="13" s="1"/>
  <c r="AE57" i="13" s="1"/>
  <c r="O26" i="13"/>
  <c r="U26" i="13" s="1"/>
  <c r="AB26" i="13" s="1"/>
  <c r="AE26" i="13" s="1"/>
  <c r="O41" i="13"/>
  <c r="U41" i="13" s="1"/>
  <c r="AB41" i="13" s="1"/>
  <c r="AE41" i="13" s="1"/>
  <c r="O62" i="13"/>
  <c r="U62" i="13" s="1"/>
  <c r="AB62" i="13" s="1"/>
  <c r="AE62" i="13" s="1"/>
  <c r="O63" i="13"/>
  <c r="U63" i="13" s="1"/>
  <c r="AB63" i="13" s="1"/>
  <c r="AE63" i="13" s="1"/>
  <c r="O36" i="13"/>
  <c r="U36" i="13" s="1"/>
  <c r="AB36" i="13" s="1"/>
  <c r="AE36" i="13" s="1"/>
  <c r="O90" i="13"/>
  <c r="U90" i="13" s="1"/>
  <c r="AB90" i="13" s="1"/>
  <c r="AE90" i="13" s="1"/>
  <c r="O100" i="13"/>
  <c r="U100" i="13" s="1"/>
  <c r="AB100" i="13" s="1"/>
  <c r="AE100" i="13" s="1"/>
  <c r="O85" i="13"/>
  <c r="U85" i="13" s="1"/>
  <c r="AB85" i="13" s="1"/>
  <c r="AE85" i="13" s="1"/>
  <c r="O47" i="13"/>
  <c r="U47" i="13" s="1"/>
  <c r="AB47" i="13" s="1"/>
  <c r="AE47" i="13" s="1"/>
  <c r="O46" i="13"/>
  <c r="U46" i="13" s="1"/>
  <c r="AB46" i="13" s="1"/>
  <c r="AE46" i="13" s="1"/>
  <c r="O33" i="13"/>
  <c r="U33" i="13" s="1"/>
  <c r="AB33" i="13" s="1"/>
  <c r="AE33" i="13" s="1"/>
  <c r="O49" i="13"/>
  <c r="U49" i="13" s="1"/>
  <c r="AB49" i="13" s="1"/>
  <c r="AE49" i="13" s="1"/>
  <c r="O71" i="13"/>
  <c r="U71" i="13" s="1"/>
  <c r="AB71" i="13" s="1"/>
  <c r="AE71" i="13" s="1"/>
  <c r="O91" i="13"/>
  <c r="U91" i="13" s="1"/>
  <c r="AB91" i="13" s="1"/>
  <c r="AE91" i="13" s="1"/>
  <c r="O32" i="13"/>
  <c r="U32" i="13" s="1"/>
  <c r="AB32" i="13" s="1"/>
  <c r="AE32" i="13" s="1"/>
  <c r="O38" i="13"/>
  <c r="U38" i="13" s="1"/>
  <c r="AB38" i="13" s="1"/>
  <c r="AE38" i="13" s="1"/>
  <c r="O43" i="13"/>
  <c r="U43" i="13" s="1"/>
  <c r="AB43" i="13" s="1"/>
  <c r="AE43" i="13" s="1"/>
  <c r="O29" i="13"/>
  <c r="U29" i="13" s="1"/>
  <c r="AB29" i="13" s="1"/>
  <c r="AE29" i="13" s="1"/>
  <c r="O35" i="13"/>
  <c r="U35" i="13" s="1"/>
  <c r="AB35" i="13" s="1"/>
  <c r="AE35" i="13" s="1"/>
  <c r="O34" i="13"/>
  <c r="U34" i="13" s="1"/>
  <c r="AB34" i="13" s="1"/>
  <c r="AE34" i="13" s="1"/>
  <c r="O39" i="13"/>
  <c r="U39" i="13" s="1"/>
  <c r="AB39" i="13" s="1"/>
  <c r="AE39" i="13" s="1"/>
  <c r="O37" i="13"/>
  <c r="U37" i="13" s="1"/>
  <c r="AB37" i="13" s="1"/>
  <c r="AE37" i="13" s="1"/>
  <c r="O55" i="13"/>
  <c r="U55" i="13" s="1"/>
  <c r="AB55" i="13" s="1"/>
  <c r="AE55" i="13" s="1"/>
  <c r="O72" i="13"/>
  <c r="U72" i="13" s="1"/>
  <c r="AB72" i="13" s="1"/>
  <c r="AE72" i="13" s="1"/>
  <c r="O65" i="13"/>
  <c r="U65" i="13" s="1"/>
  <c r="AB65" i="13" s="1"/>
  <c r="AE65" i="13" s="1"/>
  <c r="O75" i="13"/>
  <c r="U75" i="13" s="1"/>
  <c r="AB75" i="13" s="1"/>
  <c r="AE75" i="13" s="1"/>
  <c r="O67" i="13"/>
  <c r="U67" i="13" s="1"/>
  <c r="AB67" i="13" s="1"/>
  <c r="AE67" i="13" s="1"/>
  <c r="O79" i="13"/>
  <c r="U79" i="13" s="1"/>
  <c r="AB79" i="13" s="1"/>
  <c r="AE79" i="13" s="1"/>
  <c r="O83" i="13"/>
  <c r="U83" i="13" s="1"/>
  <c r="AB83" i="13" s="1"/>
  <c r="AE83" i="13" s="1"/>
  <c r="O88" i="13"/>
  <c r="U88" i="13" s="1"/>
  <c r="AB88" i="13" s="1"/>
  <c r="AE88" i="13" s="1"/>
  <c r="O25" i="13"/>
  <c r="U25" i="13" s="1"/>
  <c r="AB25" i="13" s="1"/>
  <c r="AE25" i="13" s="1"/>
  <c r="O74" i="13"/>
  <c r="U74" i="13" s="1"/>
  <c r="AB74" i="13" s="1"/>
  <c r="AE74" i="13" s="1"/>
  <c r="O51" i="13"/>
  <c r="U51" i="13" s="1"/>
  <c r="AB51" i="13" s="1"/>
  <c r="AE51" i="13" s="1"/>
  <c r="O78" i="13"/>
  <c r="U78" i="13" s="1"/>
  <c r="AB78" i="13" s="1"/>
  <c r="AE78" i="13" s="1"/>
  <c r="O11" i="5"/>
  <c r="U11" i="5" s="1"/>
  <c r="AB11" i="5" s="1"/>
  <c r="AE11" i="5" s="1"/>
  <c r="O15" i="5"/>
  <c r="U15" i="5" s="1"/>
  <c r="AB15" i="5" s="1"/>
  <c r="AE15" i="5" s="1"/>
  <c r="O19" i="5"/>
  <c r="U19" i="5" s="1"/>
  <c r="AB19" i="5" s="1"/>
  <c r="AE19" i="5" s="1"/>
  <c r="O23" i="5"/>
  <c r="U23" i="5" s="1"/>
  <c r="AB23" i="5" s="1"/>
  <c r="AE23" i="5" s="1"/>
  <c r="O12" i="5"/>
  <c r="U12" i="5" s="1"/>
  <c r="AB12" i="5" s="1"/>
  <c r="AE12" i="5" s="1"/>
  <c r="O16" i="5"/>
  <c r="U16" i="5" s="1"/>
  <c r="AB16" i="5" s="1"/>
  <c r="AE16" i="5" s="1"/>
  <c r="O20" i="5"/>
  <c r="U20" i="5" s="1"/>
  <c r="AB20" i="5" s="1"/>
  <c r="AE20" i="5" s="1"/>
  <c r="O9" i="5"/>
  <c r="U9" i="5" s="1"/>
  <c r="AB9" i="5" s="1"/>
  <c r="AE9" i="5" s="1"/>
  <c r="O13" i="5"/>
  <c r="U13" i="5" s="1"/>
  <c r="AB13" i="5" s="1"/>
  <c r="AE13" i="5" s="1"/>
  <c r="O17" i="5"/>
  <c r="U17" i="5" s="1"/>
  <c r="AB17" i="5" s="1"/>
  <c r="AE17" i="5" s="1"/>
  <c r="O21" i="5"/>
  <c r="U21" i="5" s="1"/>
  <c r="AB21" i="5" s="1"/>
  <c r="AE21" i="5" s="1"/>
  <c r="O22" i="5"/>
  <c r="U22" i="5" s="1"/>
  <c r="AB22" i="5" s="1"/>
  <c r="AE22" i="5" s="1"/>
  <c r="O10" i="5"/>
  <c r="U10" i="5" s="1"/>
  <c r="AB10" i="5" s="1"/>
  <c r="AE10" i="5" s="1"/>
  <c r="O18" i="5"/>
  <c r="U18" i="5" s="1"/>
  <c r="AB18" i="5" s="1"/>
  <c r="AE18" i="5" s="1"/>
  <c r="O14" i="5"/>
  <c r="U14" i="5" s="1"/>
  <c r="AB14" i="5" s="1"/>
  <c r="AE14" i="5" s="1"/>
  <c r="O10" i="13"/>
  <c r="U10" i="13" s="1"/>
  <c r="AB10" i="13" s="1"/>
  <c r="AE10" i="13" s="1"/>
  <c r="O12" i="13"/>
  <c r="U12" i="13" s="1"/>
  <c r="AB12" i="13" s="1"/>
  <c r="AE12" i="13" s="1"/>
  <c r="O9" i="13"/>
  <c r="O21" i="13"/>
  <c r="U21" i="13" s="1"/>
  <c r="AB21" i="13" s="1"/>
  <c r="AE21" i="13" s="1"/>
  <c r="O15" i="13"/>
  <c r="U15" i="13" s="1"/>
  <c r="AB15" i="13" s="1"/>
  <c r="AE15" i="13" s="1"/>
  <c r="O22" i="13"/>
  <c r="U22" i="13" s="1"/>
  <c r="AB22" i="13" s="1"/>
  <c r="AE22" i="13" s="1"/>
  <c r="O18" i="13"/>
  <c r="U18" i="13" s="1"/>
  <c r="AB18" i="13" s="1"/>
  <c r="AE18" i="13" s="1"/>
  <c r="O14" i="13"/>
  <c r="U14" i="13" s="1"/>
  <c r="AB14" i="13" s="1"/>
  <c r="AE14" i="13" s="1"/>
  <c r="O20" i="13"/>
  <c r="U20" i="13" s="1"/>
  <c r="AB20" i="13" s="1"/>
  <c r="AE20" i="13" s="1"/>
  <c r="O13" i="13"/>
  <c r="U13" i="13" s="1"/>
  <c r="AB13" i="13" s="1"/>
  <c r="AE13" i="13" s="1"/>
  <c r="O19" i="13"/>
  <c r="U19" i="13" s="1"/>
  <c r="AB19" i="13" s="1"/>
  <c r="AE19" i="13" s="1"/>
  <c r="O17" i="13"/>
  <c r="U17" i="13" s="1"/>
  <c r="AB17" i="13" s="1"/>
  <c r="AE17" i="13" s="1"/>
  <c r="O11" i="13"/>
  <c r="U11" i="13" s="1"/>
  <c r="AB11" i="13" s="1"/>
  <c r="AE11" i="13" s="1"/>
  <c r="O16" i="13"/>
  <c r="U16" i="13" s="1"/>
  <c r="AB16" i="13" s="1"/>
  <c r="AE16" i="13" s="1"/>
  <c r="X8" i="13"/>
  <c r="Z8" i="13" s="1"/>
  <c r="AC8" i="13" s="1"/>
  <c r="X8" i="5"/>
  <c r="X107" i="5" s="1"/>
  <c r="O8" i="13"/>
  <c r="U8" i="13" s="1"/>
  <c r="AB8" i="13" s="1"/>
  <c r="H106" i="13"/>
  <c r="O8" i="5"/>
  <c r="O107" i="5" s="1"/>
  <c r="F7" i="11"/>
  <c r="H8" i="7"/>
  <c r="H10" i="7" s="1"/>
  <c r="H12" i="7" s="1"/>
  <c r="AJ78" i="13" l="1"/>
  <c r="AG78" i="13" s="1"/>
  <c r="AM78" i="13"/>
  <c r="AL78" i="13" s="1"/>
  <c r="N78" i="11" s="1"/>
  <c r="AJ88" i="13"/>
  <c r="AG88" i="13" s="1"/>
  <c r="AM88" i="13"/>
  <c r="AL88" i="13" s="1"/>
  <c r="N88" i="11" s="1"/>
  <c r="AJ37" i="13"/>
  <c r="AG37" i="13" s="1"/>
  <c r="AM37" i="13"/>
  <c r="AL37" i="13" s="1"/>
  <c r="N37" i="11" s="1"/>
  <c r="AJ29" i="13"/>
  <c r="AG29" i="13" s="1"/>
  <c r="AM29" i="13"/>
  <c r="AL29" i="13" s="1"/>
  <c r="N29" i="11" s="1"/>
  <c r="AJ46" i="13"/>
  <c r="AG46" i="13" s="1"/>
  <c r="AM46" i="13"/>
  <c r="AL46" i="13" s="1"/>
  <c r="N46" i="11" s="1"/>
  <c r="AJ90" i="13"/>
  <c r="AG90" i="13" s="1"/>
  <c r="AM90" i="13"/>
  <c r="AL90" i="13" s="1"/>
  <c r="N90" i="11" s="1"/>
  <c r="AJ41" i="13"/>
  <c r="AG41" i="13" s="1"/>
  <c r="AM41" i="13"/>
  <c r="AL41" i="13" s="1"/>
  <c r="N41" i="11" s="1"/>
  <c r="AJ44" i="13"/>
  <c r="AG44" i="13" s="1"/>
  <c r="AM44" i="13"/>
  <c r="AL44" i="13" s="1"/>
  <c r="N44" i="11" s="1"/>
  <c r="AM98" i="13"/>
  <c r="AL98" i="13" s="1"/>
  <c r="N98" i="11" s="1"/>
  <c r="AJ98" i="13"/>
  <c r="AG98" i="13" s="1"/>
  <c r="AM82" i="13"/>
  <c r="AL82" i="13" s="1"/>
  <c r="N82" i="11" s="1"/>
  <c r="AJ82" i="13"/>
  <c r="AG82" i="13" s="1"/>
  <c r="AM92" i="13"/>
  <c r="AL92" i="13" s="1"/>
  <c r="N92" i="11" s="1"/>
  <c r="AJ92" i="13"/>
  <c r="AG92" i="13" s="1"/>
  <c r="AJ54" i="13"/>
  <c r="AG54" i="13" s="1"/>
  <c r="AM54" i="13"/>
  <c r="AL54" i="13" s="1"/>
  <c r="N54" i="11" s="1"/>
  <c r="AM48" i="13"/>
  <c r="AL48" i="13" s="1"/>
  <c r="N48" i="11" s="1"/>
  <c r="AJ48" i="13"/>
  <c r="AG48" i="13" s="1"/>
  <c r="AJ84" i="13"/>
  <c r="AG84" i="13" s="1"/>
  <c r="AM84" i="13"/>
  <c r="AL84" i="13" s="1"/>
  <c r="N84" i="11" s="1"/>
  <c r="AM58" i="13"/>
  <c r="AL58" i="13" s="1"/>
  <c r="N58" i="11" s="1"/>
  <c r="AJ58" i="13"/>
  <c r="AG58" i="13" s="1"/>
  <c r="AJ24" i="13"/>
  <c r="AG24" i="13" s="1"/>
  <c r="AM24" i="13"/>
  <c r="AL24" i="13" s="1"/>
  <c r="N24" i="11" s="1"/>
  <c r="AM60" i="13"/>
  <c r="AL60" i="13" s="1"/>
  <c r="N60" i="11" s="1"/>
  <c r="AJ60" i="13"/>
  <c r="AG60" i="13" s="1"/>
  <c r="AM28" i="13"/>
  <c r="AL28" i="13" s="1"/>
  <c r="N28" i="11" s="1"/>
  <c r="AJ28" i="13"/>
  <c r="AG28" i="13" s="1"/>
  <c r="AJ52" i="13"/>
  <c r="AG52" i="13" s="1"/>
  <c r="AM52" i="13"/>
  <c r="AL52" i="13" s="1"/>
  <c r="N52" i="11" s="1"/>
  <c r="AM51" i="13"/>
  <c r="AL51" i="13" s="1"/>
  <c r="N51" i="11" s="1"/>
  <c r="AJ51" i="13"/>
  <c r="AG51" i="13" s="1"/>
  <c r="AJ83" i="13"/>
  <c r="AG83" i="13" s="1"/>
  <c r="AM83" i="13"/>
  <c r="AL83" i="13" s="1"/>
  <c r="N83" i="11" s="1"/>
  <c r="AJ65" i="13"/>
  <c r="AG65" i="13" s="1"/>
  <c r="AM65" i="13"/>
  <c r="AL65" i="13" s="1"/>
  <c r="N65" i="11" s="1"/>
  <c r="AM39" i="13"/>
  <c r="AL39" i="13" s="1"/>
  <c r="N39" i="11" s="1"/>
  <c r="AJ39" i="13"/>
  <c r="AG39" i="13" s="1"/>
  <c r="AJ43" i="13"/>
  <c r="AG43" i="13" s="1"/>
  <c r="AM43" i="13"/>
  <c r="AL43" i="13" s="1"/>
  <c r="N43" i="11" s="1"/>
  <c r="AJ71" i="13"/>
  <c r="AG71" i="13" s="1"/>
  <c r="AM71" i="13"/>
  <c r="AL71" i="13" s="1"/>
  <c r="N71" i="11" s="1"/>
  <c r="AJ47" i="13"/>
  <c r="AG47" i="13" s="1"/>
  <c r="AM47" i="13"/>
  <c r="AL47" i="13" s="1"/>
  <c r="N47" i="11" s="1"/>
  <c r="AM36" i="13"/>
  <c r="AL36" i="13" s="1"/>
  <c r="N36" i="11" s="1"/>
  <c r="AJ36" i="13"/>
  <c r="AG36" i="13" s="1"/>
  <c r="AM26" i="13"/>
  <c r="AL26" i="13" s="1"/>
  <c r="N26" i="11" s="1"/>
  <c r="AJ26" i="13"/>
  <c r="AG26" i="13" s="1"/>
  <c r="AM42" i="13"/>
  <c r="AL42" i="13" s="1"/>
  <c r="N42" i="11" s="1"/>
  <c r="AJ42" i="13"/>
  <c r="AG42" i="13" s="1"/>
  <c r="AM56" i="13"/>
  <c r="AL56" i="13" s="1"/>
  <c r="N56" i="11" s="1"/>
  <c r="AJ56" i="13"/>
  <c r="AG56" i="13" s="1"/>
  <c r="AM89" i="13"/>
  <c r="AL89" i="13" s="1"/>
  <c r="N89" i="11" s="1"/>
  <c r="AJ89" i="13"/>
  <c r="AG89" i="13" s="1"/>
  <c r="AJ93" i="13"/>
  <c r="AG93" i="13" s="1"/>
  <c r="AM93" i="13"/>
  <c r="AL93" i="13" s="1"/>
  <c r="N93" i="11" s="1"/>
  <c r="AM69" i="13"/>
  <c r="AL69" i="13" s="1"/>
  <c r="N69" i="11" s="1"/>
  <c r="AJ69" i="13"/>
  <c r="AG69" i="13" s="1"/>
  <c r="AM102" i="13"/>
  <c r="AL102" i="13" s="1"/>
  <c r="N102" i="11" s="1"/>
  <c r="AJ102" i="13"/>
  <c r="AG102" i="13" s="1"/>
  <c r="AJ81" i="13"/>
  <c r="AG81" i="13" s="1"/>
  <c r="AM81" i="13"/>
  <c r="AL81" i="13" s="1"/>
  <c r="N81" i="11" s="1"/>
  <c r="AJ61" i="13"/>
  <c r="AG61" i="13" s="1"/>
  <c r="AM61" i="13"/>
  <c r="AL61" i="13" s="1"/>
  <c r="N61" i="11" s="1"/>
  <c r="AM103" i="13"/>
  <c r="AL103" i="13" s="1"/>
  <c r="N103" i="11" s="1"/>
  <c r="AJ103" i="13"/>
  <c r="AG103" i="13" s="1"/>
  <c r="AM96" i="13"/>
  <c r="AL96" i="13" s="1"/>
  <c r="N96" i="11" s="1"/>
  <c r="AJ96" i="13"/>
  <c r="AG96" i="13" s="1"/>
  <c r="AJ94" i="13"/>
  <c r="AG94" i="13" s="1"/>
  <c r="AM94" i="13"/>
  <c r="AL94" i="13" s="1"/>
  <c r="N94" i="11" s="1"/>
  <c r="AM74" i="13"/>
  <c r="AL74" i="13" s="1"/>
  <c r="N74" i="11" s="1"/>
  <c r="AJ74" i="13"/>
  <c r="AG74" i="13" s="1"/>
  <c r="AM79" i="13"/>
  <c r="AL79" i="13" s="1"/>
  <c r="N79" i="11" s="1"/>
  <c r="AJ79" i="13"/>
  <c r="AG79" i="13" s="1"/>
  <c r="AJ72" i="13"/>
  <c r="AG72" i="13" s="1"/>
  <c r="AM72" i="13"/>
  <c r="AL72" i="13" s="1"/>
  <c r="N72" i="11" s="1"/>
  <c r="AM34" i="13"/>
  <c r="AL34" i="13" s="1"/>
  <c r="N34" i="11" s="1"/>
  <c r="AJ34" i="13"/>
  <c r="AG34" i="13" s="1"/>
  <c r="AM38" i="13"/>
  <c r="AL38" i="13" s="1"/>
  <c r="N38" i="11" s="1"/>
  <c r="AJ38" i="13"/>
  <c r="AG38" i="13" s="1"/>
  <c r="AJ49" i="13"/>
  <c r="AG49" i="13" s="1"/>
  <c r="AM49" i="13"/>
  <c r="AL49" i="13" s="1"/>
  <c r="N49" i="11" s="1"/>
  <c r="AJ85" i="13"/>
  <c r="AG85" i="13" s="1"/>
  <c r="AM85" i="13"/>
  <c r="AL85" i="13" s="1"/>
  <c r="N85" i="11" s="1"/>
  <c r="AJ63" i="13"/>
  <c r="AG63" i="13" s="1"/>
  <c r="AM63" i="13"/>
  <c r="AL63" i="13" s="1"/>
  <c r="N63" i="11" s="1"/>
  <c r="AM57" i="13"/>
  <c r="AL57" i="13" s="1"/>
  <c r="N57" i="11" s="1"/>
  <c r="AJ57" i="13"/>
  <c r="AG57" i="13" s="1"/>
  <c r="AM101" i="13"/>
  <c r="AL101" i="13" s="1"/>
  <c r="N101" i="11" s="1"/>
  <c r="AJ101" i="13"/>
  <c r="AG101" i="13" s="1"/>
  <c r="AJ64" i="13"/>
  <c r="AG64" i="13" s="1"/>
  <c r="AM64" i="13"/>
  <c r="AL64" i="13" s="1"/>
  <c r="N64" i="11" s="1"/>
  <c r="AM87" i="13"/>
  <c r="AL87" i="13" s="1"/>
  <c r="N87" i="11" s="1"/>
  <c r="AJ87" i="13"/>
  <c r="AG87" i="13" s="1"/>
  <c r="AM73" i="13"/>
  <c r="AL73" i="13" s="1"/>
  <c r="N73" i="11" s="1"/>
  <c r="AJ73" i="13"/>
  <c r="AG73" i="13" s="1"/>
  <c r="AM31" i="13"/>
  <c r="AL31" i="13" s="1"/>
  <c r="N31" i="11" s="1"/>
  <c r="AJ31" i="13"/>
  <c r="AG31" i="13" s="1"/>
  <c r="AJ99" i="13"/>
  <c r="AG99" i="13" s="1"/>
  <c r="AM99" i="13"/>
  <c r="AL99" i="13" s="1"/>
  <c r="N99" i="11" s="1"/>
  <c r="AM59" i="13"/>
  <c r="AL59" i="13" s="1"/>
  <c r="N59" i="11" s="1"/>
  <c r="AJ59" i="13"/>
  <c r="AG59" i="13" s="1"/>
  <c r="AM45" i="13"/>
  <c r="AL45" i="13" s="1"/>
  <c r="N45" i="11" s="1"/>
  <c r="AJ45" i="13"/>
  <c r="AG45" i="13" s="1"/>
  <c r="AJ68" i="13"/>
  <c r="AG68" i="13" s="1"/>
  <c r="AM68" i="13"/>
  <c r="AL68" i="13" s="1"/>
  <c r="N68" i="11" s="1"/>
  <c r="AJ80" i="13"/>
  <c r="AG80" i="13" s="1"/>
  <c r="AM80" i="13"/>
  <c r="AL80" i="13" s="1"/>
  <c r="N80" i="11" s="1"/>
  <c r="AM53" i="13"/>
  <c r="AL53" i="13" s="1"/>
  <c r="N53" i="11" s="1"/>
  <c r="AJ53" i="13"/>
  <c r="AG53" i="13" s="1"/>
  <c r="AM75" i="13"/>
  <c r="AL75" i="13" s="1"/>
  <c r="N75" i="11" s="1"/>
  <c r="AJ75" i="13"/>
  <c r="AG75" i="13" s="1"/>
  <c r="AJ91" i="13"/>
  <c r="AG91" i="13" s="1"/>
  <c r="AM91" i="13"/>
  <c r="AL91" i="13" s="1"/>
  <c r="N91" i="11" s="1"/>
  <c r="AM25" i="13"/>
  <c r="AL25" i="13" s="1"/>
  <c r="N25" i="11" s="1"/>
  <c r="AJ25" i="13"/>
  <c r="AG25" i="13" s="1"/>
  <c r="AM67" i="13"/>
  <c r="AL67" i="13" s="1"/>
  <c r="N67" i="11" s="1"/>
  <c r="AJ67" i="13"/>
  <c r="AG67" i="13" s="1"/>
  <c r="AJ55" i="13"/>
  <c r="AG55" i="13" s="1"/>
  <c r="AM55" i="13"/>
  <c r="AL55" i="13" s="1"/>
  <c r="N55" i="11" s="1"/>
  <c r="AM35" i="13"/>
  <c r="AL35" i="13" s="1"/>
  <c r="N35" i="11" s="1"/>
  <c r="AJ35" i="13"/>
  <c r="AG35" i="13" s="1"/>
  <c r="AM32" i="13"/>
  <c r="AL32" i="13" s="1"/>
  <c r="N32" i="11" s="1"/>
  <c r="AJ32" i="13"/>
  <c r="AG32" i="13" s="1"/>
  <c r="AM33" i="13"/>
  <c r="AL33" i="13" s="1"/>
  <c r="N33" i="11" s="1"/>
  <c r="AJ33" i="13"/>
  <c r="AG33" i="13" s="1"/>
  <c r="AM100" i="13"/>
  <c r="AL100" i="13" s="1"/>
  <c r="N100" i="11" s="1"/>
  <c r="AJ100" i="13"/>
  <c r="AG100" i="13" s="1"/>
  <c r="AM62" i="13"/>
  <c r="AL62" i="13" s="1"/>
  <c r="N62" i="11" s="1"/>
  <c r="AJ62" i="13"/>
  <c r="AG62" i="13" s="1"/>
  <c r="AJ27" i="13"/>
  <c r="AG27" i="13" s="1"/>
  <c r="AM27" i="13"/>
  <c r="AL27" i="13" s="1"/>
  <c r="N27" i="11" s="1"/>
  <c r="AM97" i="13"/>
  <c r="AL97" i="13" s="1"/>
  <c r="N97" i="11" s="1"/>
  <c r="AJ97" i="13"/>
  <c r="AG97" i="13" s="1"/>
  <c r="AM86" i="13"/>
  <c r="AL86" i="13" s="1"/>
  <c r="N86" i="11" s="1"/>
  <c r="AJ86" i="13"/>
  <c r="AG86" i="13" s="1"/>
  <c r="AM95" i="13"/>
  <c r="AL95" i="13" s="1"/>
  <c r="N95" i="11" s="1"/>
  <c r="AJ95" i="13"/>
  <c r="AG95" i="13" s="1"/>
  <c r="AM66" i="13"/>
  <c r="AL66" i="13" s="1"/>
  <c r="N66" i="11" s="1"/>
  <c r="AJ66" i="13"/>
  <c r="AG66" i="13" s="1"/>
  <c r="AM23" i="13"/>
  <c r="AL23" i="13" s="1"/>
  <c r="N23" i="11" s="1"/>
  <c r="AJ23" i="13"/>
  <c r="AG23" i="13" s="1"/>
  <c r="AJ77" i="13"/>
  <c r="AG77" i="13" s="1"/>
  <c r="AM77" i="13"/>
  <c r="AL77" i="13" s="1"/>
  <c r="N77" i="11" s="1"/>
  <c r="AM70" i="13"/>
  <c r="AL70" i="13" s="1"/>
  <c r="N70" i="11" s="1"/>
  <c r="AJ70" i="13"/>
  <c r="AG70" i="13" s="1"/>
  <c r="AJ30" i="13"/>
  <c r="AG30" i="13" s="1"/>
  <c r="AM30" i="13"/>
  <c r="AL30" i="13" s="1"/>
  <c r="N30" i="11" s="1"/>
  <c r="AM40" i="13"/>
  <c r="AL40" i="13" s="1"/>
  <c r="N40" i="11" s="1"/>
  <c r="AJ40" i="13"/>
  <c r="AG40" i="13" s="1"/>
  <c r="AM50" i="13"/>
  <c r="AL50" i="13" s="1"/>
  <c r="N50" i="11" s="1"/>
  <c r="AJ50" i="13"/>
  <c r="AG50" i="13" s="1"/>
  <c r="AM76" i="13"/>
  <c r="AL76" i="13" s="1"/>
  <c r="N76" i="11" s="1"/>
  <c r="AJ76" i="13"/>
  <c r="AG76" i="13" s="1"/>
  <c r="AJ11" i="5"/>
  <c r="AG11" i="5" s="1"/>
  <c r="AL11" i="5"/>
  <c r="AK11" i="5" s="1"/>
  <c r="N10" i="6" s="1"/>
  <c r="AJ14" i="5"/>
  <c r="AG14" i="5" s="1"/>
  <c r="AL14" i="5"/>
  <c r="AK14" i="5" s="1"/>
  <c r="N13" i="6" s="1"/>
  <c r="AJ10" i="5"/>
  <c r="AG10" i="5" s="1"/>
  <c r="AL10" i="5"/>
  <c r="AK10" i="5" s="1"/>
  <c r="N9" i="6" s="1"/>
  <c r="AJ22" i="5"/>
  <c r="AG22" i="5" s="1"/>
  <c r="AH22" i="5" s="1"/>
  <c r="AI22" i="5" s="1"/>
  <c r="AL22" i="5"/>
  <c r="AK22" i="5" s="1"/>
  <c r="N21" i="6" s="1"/>
  <c r="AJ9" i="5"/>
  <c r="AG9" i="5" s="1"/>
  <c r="AH9" i="5" s="1"/>
  <c r="AI9" i="5" s="1"/>
  <c r="AL9" i="5"/>
  <c r="AK9" i="5" s="1"/>
  <c r="N8" i="6" s="1"/>
  <c r="AL20" i="5"/>
  <c r="AK20" i="5" s="1"/>
  <c r="N19" i="6" s="1"/>
  <c r="AJ20" i="5"/>
  <c r="AG20" i="5" s="1"/>
  <c r="AH20" i="5" s="1"/>
  <c r="AI20" i="5" s="1"/>
  <c r="AJ23" i="5"/>
  <c r="AG23" i="5" s="1"/>
  <c r="AH23" i="5" s="1"/>
  <c r="AI23" i="5" s="1"/>
  <c r="AL23" i="5"/>
  <c r="AK23" i="5" s="1"/>
  <c r="N22" i="6" s="1"/>
  <c r="AJ13" i="5"/>
  <c r="AG13" i="5" s="1"/>
  <c r="AL13" i="5"/>
  <c r="AK13" i="5" s="1"/>
  <c r="N12" i="6" s="1"/>
  <c r="AL18" i="5"/>
  <c r="AK18" i="5" s="1"/>
  <c r="N17" i="6" s="1"/>
  <c r="AJ18" i="5"/>
  <c r="AG18" i="5" s="1"/>
  <c r="AH18" i="5" s="1"/>
  <c r="AI18" i="5" s="1"/>
  <c r="AL21" i="5"/>
  <c r="AK21" i="5" s="1"/>
  <c r="N20" i="6" s="1"/>
  <c r="AJ21" i="5"/>
  <c r="AG21" i="5" s="1"/>
  <c r="AL16" i="5"/>
  <c r="AK16" i="5" s="1"/>
  <c r="N15" i="6" s="1"/>
  <c r="AJ16" i="5"/>
  <c r="AG16" i="5" s="1"/>
  <c r="AJ19" i="5"/>
  <c r="AG19" i="5" s="1"/>
  <c r="AL19" i="5"/>
  <c r="AK19" i="5" s="1"/>
  <c r="N18" i="6" s="1"/>
  <c r="AJ17" i="5"/>
  <c r="AG17" i="5" s="1"/>
  <c r="AH17" i="5" s="1"/>
  <c r="AI17" i="5" s="1"/>
  <c r="AL17" i="5"/>
  <c r="AK17" i="5" s="1"/>
  <c r="N16" i="6" s="1"/>
  <c r="AJ12" i="5"/>
  <c r="AG12" i="5" s="1"/>
  <c r="AL12" i="5"/>
  <c r="AK12" i="5" s="1"/>
  <c r="N11" i="6" s="1"/>
  <c r="AL15" i="5"/>
  <c r="AK15" i="5" s="1"/>
  <c r="N14" i="6" s="1"/>
  <c r="AJ15" i="5"/>
  <c r="AG15" i="5" s="1"/>
  <c r="U9" i="13"/>
  <c r="AM19" i="13"/>
  <c r="AL19" i="13" s="1"/>
  <c r="N19" i="11" s="1"/>
  <c r="AJ19" i="13"/>
  <c r="AG19" i="13" s="1"/>
  <c r="AJ14" i="13"/>
  <c r="AG14" i="13" s="1"/>
  <c r="AM14" i="13"/>
  <c r="AL14" i="13" s="1"/>
  <c r="N14" i="11" s="1"/>
  <c r="AM11" i="13"/>
  <c r="AL11" i="13" s="1"/>
  <c r="N11" i="11" s="1"/>
  <c r="AJ11" i="13"/>
  <c r="AG11" i="13" s="1"/>
  <c r="AM13" i="13"/>
  <c r="AL13" i="13" s="1"/>
  <c r="N13" i="11" s="1"/>
  <c r="AJ13" i="13"/>
  <c r="AG13" i="13" s="1"/>
  <c r="AM18" i="13"/>
  <c r="AL18" i="13" s="1"/>
  <c r="N18" i="11" s="1"/>
  <c r="AJ18" i="13"/>
  <c r="AG18" i="13" s="1"/>
  <c r="AJ12" i="13"/>
  <c r="AG12" i="13" s="1"/>
  <c r="AM12" i="13"/>
  <c r="AL12" i="13" s="1"/>
  <c r="N12" i="11" s="1"/>
  <c r="AJ21" i="13"/>
  <c r="AG21" i="13" s="1"/>
  <c r="AM21" i="13"/>
  <c r="AL21" i="13" s="1"/>
  <c r="N21" i="11" s="1"/>
  <c r="AM10" i="13"/>
  <c r="AL10" i="13" s="1"/>
  <c r="N10" i="11" s="1"/>
  <c r="AJ10" i="13"/>
  <c r="AG10" i="13" s="1"/>
  <c r="AJ17" i="13"/>
  <c r="AG17" i="13" s="1"/>
  <c r="AM17" i="13"/>
  <c r="AL17" i="13" s="1"/>
  <c r="N17" i="11" s="1"/>
  <c r="AM22" i="13"/>
  <c r="AL22" i="13" s="1"/>
  <c r="N22" i="11" s="1"/>
  <c r="AJ22" i="13"/>
  <c r="AG22" i="13" s="1"/>
  <c r="AM16" i="13"/>
  <c r="AL16" i="13" s="1"/>
  <c r="N16" i="11" s="1"/>
  <c r="AJ16" i="13"/>
  <c r="AG16" i="13" s="1"/>
  <c r="AJ20" i="13"/>
  <c r="AG20" i="13" s="1"/>
  <c r="AM20" i="13"/>
  <c r="AL20" i="13" s="1"/>
  <c r="N20" i="11" s="1"/>
  <c r="AJ15" i="13"/>
  <c r="AG15" i="13" s="1"/>
  <c r="AM15" i="13"/>
  <c r="AL15" i="13" s="1"/>
  <c r="N15" i="11" s="1"/>
  <c r="AE8" i="13"/>
  <c r="AM8" i="13" s="1"/>
  <c r="AL8" i="13" s="1"/>
  <c r="N8" i="11" s="1"/>
  <c r="Z8" i="5"/>
  <c r="Z107" i="5" s="1"/>
  <c r="U8" i="5"/>
  <c r="U107" i="5" s="1"/>
  <c r="G7" i="11"/>
  <c r="L7" i="13"/>
  <c r="AD7" i="13" s="1"/>
  <c r="AD106" i="13" s="1"/>
  <c r="C110" i="6"/>
  <c r="AK27" i="13" l="1"/>
  <c r="AH27" i="13"/>
  <c r="AI27" i="13" s="1"/>
  <c r="AH50" i="13"/>
  <c r="AI50" i="13" s="1"/>
  <c r="AK50" i="13"/>
  <c r="AK62" i="13"/>
  <c r="AH62" i="13"/>
  <c r="AI62" i="13" s="1"/>
  <c r="AK48" i="13"/>
  <c r="AH48" i="13"/>
  <c r="AI48" i="13" s="1"/>
  <c r="AK88" i="13"/>
  <c r="AH88" i="13"/>
  <c r="AI88" i="13" s="1"/>
  <c r="AK23" i="13"/>
  <c r="AH23" i="13"/>
  <c r="AI23" i="13" s="1"/>
  <c r="AH94" i="13"/>
  <c r="AI94" i="13" s="1"/>
  <c r="AK94" i="13"/>
  <c r="AK54" i="13"/>
  <c r="AH54" i="13"/>
  <c r="AI54" i="13" s="1"/>
  <c r="AH66" i="13"/>
  <c r="AI66" i="13" s="1"/>
  <c r="AK66" i="13"/>
  <c r="AK67" i="13"/>
  <c r="AH67" i="13"/>
  <c r="AI67" i="13" s="1"/>
  <c r="AK57" i="13"/>
  <c r="AH57" i="13"/>
  <c r="AI57" i="13" s="1"/>
  <c r="AH28" i="13"/>
  <c r="AI28" i="13" s="1"/>
  <c r="AK28" i="13"/>
  <c r="AH70" i="13"/>
  <c r="AI70" i="13" s="1"/>
  <c r="AK70" i="13"/>
  <c r="AK26" i="13"/>
  <c r="AH26" i="13"/>
  <c r="AI26" i="13" s="1"/>
  <c r="AH76" i="13"/>
  <c r="AI76" i="13" s="1"/>
  <c r="AK76" i="13"/>
  <c r="AK71" i="13"/>
  <c r="AH71" i="13"/>
  <c r="AI71" i="13" s="1"/>
  <c r="AH41" i="13"/>
  <c r="AI41" i="13" s="1"/>
  <c r="AK41" i="13"/>
  <c r="AK37" i="13"/>
  <c r="AH37" i="13"/>
  <c r="AI37" i="13" s="1"/>
  <c r="AK40" i="13"/>
  <c r="AH40" i="13"/>
  <c r="AI40" i="13" s="1"/>
  <c r="AK45" i="13"/>
  <c r="AH45" i="13"/>
  <c r="AI45" i="13" s="1"/>
  <c r="AK64" i="13"/>
  <c r="AH64" i="13"/>
  <c r="AI64" i="13" s="1"/>
  <c r="AK103" i="13"/>
  <c r="AH103" i="13"/>
  <c r="AI103" i="13" s="1"/>
  <c r="AK69" i="13"/>
  <c r="AH69" i="13"/>
  <c r="AI69" i="13" s="1"/>
  <c r="AK32" i="13"/>
  <c r="AH32" i="13"/>
  <c r="AI32" i="13" s="1"/>
  <c r="AK73" i="13"/>
  <c r="AH73" i="13"/>
  <c r="AI73" i="13" s="1"/>
  <c r="AK49" i="13"/>
  <c r="AH49" i="13"/>
  <c r="AI49" i="13" s="1"/>
  <c r="AK96" i="13"/>
  <c r="AH96" i="13"/>
  <c r="AI96" i="13" s="1"/>
  <c r="AK81" i="13"/>
  <c r="AH81" i="13"/>
  <c r="AI81" i="13" s="1"/>
  <c r="AK56" i="13"/>
  <c r="AH56" i="13"/>
  <c r="AI56" i="13" s="1"/>
  <c r="AH83" i="13"/>
  <c r="AI83" i="13" s="1"/>
  <c r="AK83" i="13"/>
  <c r="AH46" i="13"/>
  <c r="AI46" i="13" s="1"/>
  <c r="AK46" i="13"/>
  <c r="AK100" i="13"/>
  <c r="AH100" i="13"/>
  <c r="AI100" i="13" s="1"/>
  <c r="AH33" i="13"/>
  <c r="AI33" i="13" s="1"/>
  <c r="AK33" i="13"/>
  <c r="AH80" i="13"/>
  <c r="AI80" i="13" s="1"/>
  <c r="AK80" i="13"/>
  <c r="AK87" i="13"/>
  <c r="AH87" i="13"/>
  <c r="AI87" i="13" s="1"/>
  <c r="AH74" i="13"/>
  <c r="AI74" i="13" s="1"/>
  <c r="AK74" i="13"/>
  <c r="AH93" i="13"/>
  <c r="AI93" i="13" s="1"/>
  <c r="AK93" i="13"/>
  <c r="AK39" i="13"/>
  <c r="AH39" i="13"/>
  <c r="AI39" i="13" s="1"/>
  <c r="AK82" i="13"/>
  <c r="AH82" i="13"/>
  <c r="AI82" i="13" s="1"/>
  <c r="AK53" i="13"/>
  <c r="AH53" i="13"/>
  <c r="AI53" i="13" s="1"/>
  <c r="AK101" i="13"/>
  <c r="AH101" i="13"/>
  <c r="AI101" i="13" s="1"/>
  <c r="AK34" i="13"/>
  <c r="AH34" i="13"/>
  <c r="AI34" i="13" s="1"/>
  <c r="AH89" i="13"/>
  <c r="AI89" i="13" s="1"/>
  <c r="AK89" i="13"/>
  <c r="AH52" i="13"/>
  <c r="AI52" i="13" s="1"/>
  <c r="AK52" i="13"/>
  <c r="AH55" i="13"/>
  <c r="AI55" i="13" s="1"/>
  <c r="AK55" i="13"/>
  <c r="AH91" i="13"/>
  <c r="AI91" i="13" s="1"/>
  <c r="AK91" i="13"/>
  <c r="AK99" i="13"/>
  <c r="AH99" i="13"/>
  <c r="AI99" i="13" s="1"/>
  <c r="AH79" i="13"/>
  <c r="AI79" i="13" s="1"/>
  <c r="AK79" i="13"/>
  <c r="AH102" i="13"/>
  <c r="AI102" i="13" s="1"/>
  <c r="AK102" i="13"/>
  <c r="AK42" i="13"/>
  <c r="AH42" i="13"/>
  <c r="AI42" i="13" s="1"/>
  <c r="AK47" i="13"/>
  <c r="AH47" i="13"/>
  <c r="AI47" i="13" s="1"/>
  <c r="AH24" i="13"/>
  <c r="AI24" i="13" s="1"/>
  <c r="AK24" i="13"/>
  <c r="AH92" i="13"/>
  <c r="AI92" i="13" s="1"/>
  <c r="AK92" i="13"/>
  <c r="AH44" i="13"/>
  <c r="AI44" i="13" s="1"/>
  <c r="AK44" i="13"/>
  <c r="AK77" i="13"/>
  <c r="AH77" i="13"/>
  <c r="AI77" i="13" s="1"/>
  <c r="AH97" i="13"/>
  <c r="AI97" i="13" s="1"/>
  <c r="AK97" i="13"/>
  <c r="AH30" i="13"/>
  <c r="AI30" i="13" s="1"/>
  <c r="AK30" i="13"/>
  <c r="AH95" i="13"/>
  <c r="AI95" i="13" s="1"/>
  <c r="AK95" i="13"/>
  <c r="AH86" i="13"/>
  <c r="AI86" i="13" s="1"/>
  <c r="AK86" i="13"/>
  <c r="AK35" i="13"/>
  <c r="AH35" i="13"/>
  <c r="AI35" i="13" s="1"/>
  <c r="AH25" i="13"/>
  <c r="AI25" i="13" s="1"/>
  <c r="AK25" i="13"/>
  <c r="AK75" i="13"/>
  <c r="AH75" i="13"/>
  <c r="AI75" i="13" s="1"/>
  <c r="AH68" i="13"/>
  <c r="AI68" i="13" s="1"/>
  <c r="AK68" i="13"/>
  <c r="AK59" i="13"/>
  <c r="AH59" i="13"/>
  <c r="AI59" i="13" s="1"/>
  <c r="AK31" i="13"/>
  <c r="AH31" i="13"/>
  <c r="AI31" i="13" s="1"/>
  <c r="AH63" i="13"/>
  <c r="AI63" i="13" s="1"/>
  <c r="AK63" i="13"/>
  <c r="AK85" i="13"/>
  <c r="AH85" i="13"/>
  <c r="AI85" i="13" s="1"/>
  <c r="AH38" i="13"/>
  <c r="AI38" i="13" s="1"/>
  <c r="AK38" i="13"/>
  <c r="AK72" i="13"/>
  <c r="AH72" i="13"/>
  <c r="AI72" i="13" s="1"/>
  <c r="AH61" i="13"/>
  <c r="AI61" i="13" s="1"/>
  <c r="AK61" i="13"/>
  <c r="AH36" i="13"/>
  <c r="AI36" i="13" s="1"/>
  <c r="AK36" i="13"/>
  <c r="AH43" i="13"/>
  <c r="AI43" i="13" s="1"/>
  <c r="AK43" i="13"/>
  <c r="AH65" i="13"/>
  <c r="AI65" i="13" s="1"/>
  <c r="AK65" i="13"/>
  <c r="AH51" i="13"/>
  <c r="AI51" i="13" s="1"/>
  <c r="AK51" i="13"/>
  <c r="AK60" i="13"/>
  <c r="AH60" i="13"/>
  <c r="AI60" i="13" s="1"/>
  <c r="AK58" i="13"/>
  <c r="AH58" i="13"/>
  <c r="AI58" i="13" s="1"/>
  <c r="AK84" i="13"/>
  <c r="AH84" i="13"/>
  <c r="AI84" i="13" s="1"/>
  <c r="AH98" i="13"/>
  <c r="AI98" i="13" s="1"/>
  <c r="AK98" i="13"/>
  <c r="AH90" i="13"/>
  <c r="AI90" i="13" s="1"/>
  <c r="AK90" i="13"/>
  <c r="AH29" i="13"/>
  <c r="AI29" i="13" s="1"/>
  <c r="AK29" i="13"/>
  <c r="AK78" i="13"/>
  <c r="AH78" i="13"/>
  <c r="AI78" i="13" s="1"/>
  <c r="AH13" i="5"/>
  <c r="AI13" i="5" s="1"/>
  <c r="AH12" i="5"/>
  <c r="AI12" i="5" s="1"/>
  <c r="AH10" i="5"/>
  <c r="AI10" i="5" s="1"/>
  <c r="AH15" i="5"/>
  <c r="AI15" i="5" s="1"/>
  <c r="AH11" i="5"/>
  <c r="AI11" i="5" s="1"/>
  <c r="AH21" i="5"/>
  <c r="AI21" i="5" s="1"/>
  <c r="AH16" i="5"/>
  <c r="AI16" i="5" s="1"/>
  <c r="AH19" i="5"/>
  <c r="AI19" i="5" s="1"/>
  <c r="AH14" i="5"/>
  <c r="AI14" i="5" s="1"/>
  <c r="AB9" i="13"/>
  <c r="AH17" i="13"/>
  <c r="AI17" i="13" s="1"/>
  <c r="AK17" i="13"/>
  <c r="AH13" i="13"/>
  <c r="AI13" i="13" s="1"/>
  <c r="AK13" i="13"/>
  <c r="AH16" i="13"/>
  <c r="AI16" i="13" s="1"/>
  <c r="AK16" i="13"/>
  <c r="AH12" i="13"/>
  <c r="AI12" i="13" s="1"/>
  <c r="AK12" i="13"/>
  <c r="AH11" i="13"/>
  <c r="AI11" i="13" s="1"/>
  <c r="AK11" i="13"/>
  <c r="AK14" i="13"/>
  <c r="AH14" i="13"/>
  <c r="AI14" i="13" s="1"/>
  <c r="AK20" i="13"/>
  <c r="AH20" i="13"/>
  <c r="AI20" i="13" s="1"/>
  <c r="AK19" i="13"/>
  <c r="AH19" i="13"/>
  <c r="AI19" i="13" s="1"/>
  <c r="AH22" i="13"/>
  <c r="AI22" i="13" s="1"/>
  <c r="AK22" i="13"/>
  <c r="AK18" i="13"/>
  <c r="AH18" i="13"/>
  <c r="AI18" i="13" s="1"/>
  <c r="AH15" i="13"/>
  <c r="AI15" i="13" s="1"/>
  <c r="AK15" i="13"/>
  <c r="AH10" i="13"/>
  <c r="AI10" i="13" s="1"/>
  <c r="AK10" i="13"/>
  <c r="AH21" i="13"/>
  <c r="AI21" i="13" s="1"/>
  <c r="AK21" i="13"/>
  <c r="AJ8" i="13"/>
  <c r="AG8" i="13" s="1"/>
  <c r="AH8" i="13" s="1"/>
  <c r="AI8" i="13" s="1"/>
  <c r="X111" i="5"/>
  <c r="AC8" i="5"/>
  <c r="AC107" i="5" s="1"/>
  <c r="AB8" i="5"/>
  <c r="AB107" i="5" s="1"/>
  <c r="M7" i="13"/>
  <c r="H7" i="11"/>
  <c r="I7" i="11"/>
  <c r="X7" i="13" l="1"/>
  <c r="X106" i="13" s="1"/>
  <c r="T7" i="13"/>
  <c r="S7" i="13"/>
  <c r="AE9" i="13"/>
  <c r="AK8" i="13"/>
  <c r="E110" i="6"/>
  <c r="AE8" i="5"/>
  <c r="AE107" i="5" s="1"/>
  <c r="O7" i="13"/>
  <c r="O106" i="13" s="1"/>
  <c r="R2" i="13"/>
  <c r="Y7" i="13"/>
  <c r="Y106" i="13" s="1"/>
  <c r="T106" i="13"/>
  <c r="Q7" i="13"/>
  <c r="Q106" i="13" s="1"/>
  <c r="R7" i="13"/>
  <c r="R106" i="13" s="1"/>
  <c r="W7" i="13"/>
  <c r="W106" i="13" s="1"/>
  <c r="P7" i="13"/>
  <c r="P106" i="13" s="1"/>
  <c r="S106" i="13"/>
  <c r="K7" i="11"/>
  <c r="J7" i="11"/>
  <c r="AM9" i="13" l="1"/>
  <c r="AL9" i="13" s="1"/>
  <c r="N9" i="11" s="1"/>
  <c r="AJ9" i="13"/>
  <c r="AG9" i="13" s="1"/>
  <c r="AL8" i="5"/>
  <c r="AL107" i="5" s="1"/>
  <c r="AJ8" i="5"/>
  <c r="AJ107" i="5" s="1"/>
  <c r="R3" i="13"/>
  <c r="U7" i="13"/>
  <c r="U106" i="13" s="1"/>
  <c r="Z7" i="13"/>
  <c r="Z106" i="13" s="1"/>
  <c r="L7" i="11"/>
  <c r="M7" i="11"/>
  <c r="AH9" i="13" l="1"/>
  <c r="AI9" i="13" s="1"/>
  <c r="AK9" i="13"/>
  <c r="AK8" i="5"/>
  <c r="AG8" i="5"/>
  <c r="AG107" i="5" s="1"/>
  <c r="AC7" i="13"/>
  <c r="AC106" i="13" s="1"/>
  <c r="AB7" i="13"/>
  <c r="AB106" i="13" s="1"/>
  <c r="AJ109" i="5"/>
  <c r="AK107" i="5" l="1"/>
  <c r="N25" i="6" s="1"/>
  <c r="N7" i="6"/>
  <c r="N106" i="6" s="1"/>
  <c r="AH8" i="5"/>
  <c r="AH107" i="5" s="1"/>
  <c r="AE7" i="13"/>
  <c r="AE106" i="13" s="1"/>
  <c r="AI8" i="5" l="1"/>
  <c r="AI107" i="5" s="1"/>
  <c r="AM7" i="13"/>
  <c r="AM106" i="13" s="1"/>
  <c r="AJ7" i="13"/>
  <c r="AJ106" i="13" s="1"/>
  <c r="E111" i="6"/>
  <c r="E112" i="6" s="1"/>
  <c r="E113" i="6" l="1"/>
  <c r="E114" i="6" s="1"/>
  <c r="AL7" i="13"/>
  <c r="AJ108" i="13"/>
  <c r="AG7" i="13"/>
  <c r="AG106" i="13" s="1"/>
  <c r="AL106" i="13" l="1"/>
  <c r="L111" i="6" s="1"/>
  <c r="L112" i="6" s="1"/>
  <c r="L113" i="6" s="1"/>
  <c r="E115" i="6"/>
  <c r="E116" i="6" s="1"/>
  <c r="AH7" i="13"/>
  <c r="AH106" i="13" s="1"/>
  <c r="AK7" i="13"/>
  <c r="AK106" i="13" s="1"/>
  <c r="N7" i="11"/>
  <c r="N106" i="11" s="1"/>
  <c r="AI7" i="13" l="1"/>
  <c r="AI106" i="13" s="1"/>
</calcChain>
</file>

<file path=xl/sharedStrings.xml><?xml version="1.0" encoding="utf-8"?>
<sst xmlns="http://schemas.openxmlformats.org/spreadsheetml/2006/main" count="351" uniqueCount="286">
  <si>
    <t>SMGDF</t>
  </si>
  <si>
    <t>3 SMGDF</t>
  </si>
  <si>
    <t xml:space="preserve"> </t>
  </si>
  <si>
    <t>ENFERMEDADES Y MATERNIDAD</t>
  </si>
  <si>
    <t>INGRESO</t>
  </si>
  <si>
    <t>UITILIDAD</t>
  </si>
  <si>
    <t>N°</t>
  </si>
  <si>
    <t>NOMBRE</t>
  </si>
  <si>
    <t>CLAVE</t>
  </si>
  <si>
    <t>DIAS</t>
  </si>
  <si>
    <t>DIAS COTIZADOS</t>
  </si>
  <si>
    <t>DIAS INCAPACIDAD</t>
  </si>
  <si>
    <t xml:space="preserve">DIAS AUSENTISMO </t>
  </si>
  <si>
    <t>SALARIO DIARIO</t>
  </si>
  <si>
    <t>SBC</t>
  </si>
  <si>
    <t>CUOTA FIJA</t>
  </si>
  <si>
    <t>EXCEDENTE</t>
  </si>
  <si>
    <t>PREST EN DINERO</t>
  </si>
  <si>
    <t>PREST EN ESPECIE</t>
  </si>
  <si>
    <t>RIESGO DE TRAB</t>
  </si>
  <si>
    <t>INVALIDEZ Y VIDA</t>
  </si>
  <si>
    <t>GUARDERIAS</t>
  </si>
  <si>
    <t>TOTAL MENSUAL</t>
  </si>
  <si>
    <t>RETIRO</t>
  </si>
  <si>
    <t>CESANTIA Y VEJEZ</t>
  </si>
  <si>
    <t>INFONAVIT</t>
  </si>
  <si>
    <t>TOTAL BIMESTRAL</t>
  </si>
  <si>
    <t>TOTAL RCV E INF</t>
  </si>
  <si>
    <t>TOTAL COSTO</t>
  </si>
  <si>
    <t>TOTAL INGRESO</t>
  </si>
  <si>
    <t>SUMA</t>
  </si>
  <si>
    <t>IVA</t>
  </si>
  <si>
    <t>COSTO SOCIAL</t>
  </si>
  <si>
    <t>TOTAL IMSS MENSUAL</t>
  </si>
  <si>
    <t>LIMITE INFERIOR</t>
  </si>
  <si>
    <t>LIMITE SUPERIOR</t>
  </si>
  <si>
    <t>CUOTA   FIJA</t>
  </si>
  <si>
    <t>%  EXC. LIMITE INF.</t>
  </si>
  <si>
    <t>BASE GRAVABLE</t>
  </si>
  <si>
    <t>(-)</t>
  </si>
  <si>
    <t>EXED. S/LIM. INFERIOR</t>
  </si>
  <si>
    <t>(x)</t>
  </si>
  <si>
    <t>% S/EXED. LIM. INF.</t>
  </si>
  <si>
    <t>IMPUESTO MARGINAL</t>
  </si>
  <si>
    <t>(+)</t>
  </si>
  <si>
    <t>IMPUESTO CAUSADO 113</t>
  </si>
  <si>
    <t>SUBSIDIO PARA EL EMPLEO</t>
  </si>
  <si>
    <t>IMPUESTO A RETENER</t>
  </si>
  <si>
    <t>SUBSIDIO AL EMPLEO</t>
  </si>
  <si>
    <t>SUELDO</t>
  </si>
  <si>
    <t>ART 113</t>
  </si>
  <si>
    <t>SUBSIDIO</t>
  </si>
  <si>
    <t>ISR</t>
  </si>
  <si>
    <t>TOTAL DEPOSITO</t>
  </si>
  <si>
    <t>TOTAL</t>
  </si>
  <si>
    <t>IMSS</t>
  </si>
  <si>
    <t>SUBTOTAL</t>
  </si>
  <si>
    <t>COSTO POR PERIODO</t>
  </si>
  <si>
    <t>COSTO POR DIA</t>
  </si>
  <si>
    <t>&lt;</t>
  </si>
  <si>
    <t>FPS</t>
  </si>
  <si>
    <t>EMPRESA</t>
  </si>
  <si>
    <t>NOMINA GENERAL</t>
  </si>
  <si>
    <t>ART 96</t>
  </si>
  <si>
    <t>PPS/IRT</t>
  </si>
  <si>
    <t>1.00 Salario mínimo (SM)</t>
  </si>
  <si>
    <t>1.01 SM a 1.50 UMA</t>
  </si>
  <si>
    <t>1.51 a 2.00 UMA</t>
  </si>
  <si>
    <t>2.01 a 2.50 UMA</t>
  </si>
  <si>
    <t>2.51 a 3.00 UMA</t>
  </si>
  <si>
    <t>3.01 a 3.50 UMA</t>
  </si>
  <si>
    <t>3.51 a 4.00 UMA</t>
  </si>
  <si>
    <t>4.01 UMA en adelante</t>
  </si>
  <si>
    <t>SUELDO  NETO</t>
  </si>
  <si>
    <t>COSTO NOMINA</t>
  </si>
  <si>
    <t>NOMINA + CARGAS</t>
  </si>
  <si>
    <t>COMISIÓN</t>
  </si>
  <si>
    <t>TOTAL GLOBAL FACTURA</t>
  </si>
  <si>
    <t>COSTO CARGA FISCAL</t>
  </si>
  <si>
    <t>DESGLOCE DE FACTURA</t>
  </si>
  <si>
    <t>PPS / IRT</t>
  </si>
  <si>
    <t>4% NOMINA</t>
  </si>
  <si>
    <t xml:space="preserve">IVA </t>
  </si>
  <si>
    <t>TARIFA MENSUAL 2026</t>
  </si>
  <si>
    <t>TARIFA ACTUALIZADA DEL IMPUESTO CORRESPONDIENTE AL EJERCICIO DE 2026</t>
  </si>
  <si>
    <t>TARIFA PARA EL CALCULO DEL EJERCICIO 2026</t>
  </si>
  <si>
    <t>EN ADELANTE</t>
  </si>
  <si>
    <t>Empleado 1</t>
  </si>
  <si>
    <t>Empleado 2</t>
  </si>
  <si>
    <t>Empleado 3</t>
  </si>
  <si>
    <t>Empleado 4</t>
  </si>
  <si>
    <t>Empleado 5</t>
  </si>
  <si>
    <t>Empleado 6</t>
  </si>
  <si>
    <t>Empleado 7</t>
  </si>
  <si>
    <t>Empleado 8</t>
  </si>
  <si>
    <t>Empleado 9</t>
  </si>
  <si>
    <t>Empleado 10</t>
  </si>
  <si>
    <t>Empleado 11</t>
  </si>
  <si>
    <t>Empleado 12</t>
  </si>
  <si>
    <t>Empleado 13</t>
  </si>
  <si>
    <t>Empleado 14</t>
  </si>
  <si>
    <t>Empleado 15</t>
  </si>
  <si>
    <t>Empleado 16</t>
  </si>
  <si>
    <t>Emp 001</t>
  </si>
  <si>
    <t>Emp 002</t>
  </si>
  <si>
    <t>Emp 003</t>
  </si>
  <si>
    <t>Emp 004</t>
  </si>
  <si>
    <t>Emp 005</t>
  </si>
  <si>
    <t>Emp 006</t>
  </si>
  <si>
    <t>Emp 007</t>
  </si>
  <si>
    <t>Emp 008</t>
  </si>
  <si>
    <t>Emp 009</t>
  </si>
  <si>
    <t>Emp 010</t>
  </si>
  <si>
    <t>Emp 011</t>
  </si>
  <si>
    <t>Emp 012</t>
  </si>
  <si>
    <t>Emp 013</t>
  </si>
  <si>
    <t>Emp 014</t>
  </si>
  <si>
    <t>Emp 015</t>
  </si>
  <si>
    <t>Emp 016</t>
  </si>
  <si>
    <t>COSTO IMSS E INF REAL</t>
  </si>
  <si>
    <t>AHORRO MENSUAL</t>
  </si>
  <si>
    <t>AHORRO ANUAL</t>
  </si>
  <si>
    <t>Empleado 17</t>
  </si>
  <si>
    <t>Empleado 18</t>
  </si>
  <si>
    <t>Empleado 19</t>
  </si>
  <si>
    <t>Empleado 20</t>
  </si>
  <si>
    <t>Empleado 21</t>
  </si>
  <si>
    <t>Empleado 22</t>
  </si>
  <si>
    <t>Empleado 23</t>
  </si>
  <si>
    <t>Empleado 24</t>
  </si>
  <si>
    <t>Empleado 25</t>
  </si>
  <si>
    <t>Empleado 26</t>
  </si>
  <si>
    <t>Empleado 27</t>
  </si>
  <si>
    <t>Empleado 28</t>
  </si>
  <si>
    <t>Empleado 29</t>
  </si>
  <si>
    <t>Empleado 30</t>
  </si>
  <si>
    <t>Empleado 31</t>
  </si>
  <si>
    <t>Empleado 32</t>
  </si>
  <si>
    <t>Empleado 33</t>
  </si>
  <si>
    <t>Empleado 34</t>
  </si>
  <si>
    <t>Empleado 35</t>
  </si>
  <si>
    <t>Empleado 36</t>
  </si>
  <si>
    <t>Empleado 37</t>
  </si>
  <si>
    <t>Empleado 38</t>
  </si>
  <si>
    <t>Empleado 39</t>
  </si>
  <si>
    <t>Empleado 40</t>
  </si>
  <si>
    <t>Empleado 41</t>
  </si>
  <si>
    <t>Empleado 42</t>
  </si>
  <si>
    <t>Empleado 43</t>
  </si>
  <si>
    <t>Empleado 44</t>
  </si>
  <si>
    <t>Empleado 45</t>
  </si>
  <si>
    <t>Empleado 46</t>
  </si>
  <si>
    <t>Empleado 47</t>
  </si>
  <si>
    <t>Empleado 48</t>
  </si>
  <si>
    <t>Empleado 49</t>
  </si>
  <si>
    <t>Empleado 50</t>
  </si>
  <si>
    <t>Empleado 51</t>
  </si>
  <si>
    <t>Empleado 52</t>
  </si>
  <si>
    <t>Empleado 53</t>
  </si>
  <si>
    <t>Empleado 54</t>
  </si>
  <si>
    <t>Empleado 55</t>
  </si>
  <si>
    <t>Empleado 56</t>
  </si>
  <si>
    <t>Empleado 57</t>
  </si>
  <si>
    <t>Empleado 58</t>
  </si>
  <si>
    <t>Empleado 59</t>
  </si>
  <si>
    <t>Empleado 60</t>
  </si>
  <si>
    <t>Empleado 61</t>
  </si>
  <si>
    <t>Empleado 62</t>
  </si>
  <si>
    <t>Empleado 63</t>
  </si>
  <si>
    <t>Empleado 64</t>
  </si>
  <si>
    <t>Empleado 65</t>
  </si>
  <si>
    <t>Empleado 66</t>
  </si>
  <si>
    <t>Empleado 67</t>
  </si>
  <si>
    <t>Empleado 68</t>
  </si>
  <si>
    <t>Empleado 69</t>
  </si>
  <si>
    <t>Empleado 70</t>
  </si>
  <si>
    <t>Empleado 71</t>
  </si>
  <si>
    <t>Empleado 72</t>
  </si>
  <si>
    <t>Empleado 73</t>
  </si>
  <si>
    <t>Empleado 74</t>
  </si>
  <si>
    <t>Empleado 75</t>
  </si>
  <si>
    <t>Empleado 76</t>
  </si>
  <si>
    <t>Empleado 77</t>
  </si>
  <si>
    <t>Empleado 78</t>
  </si>
  <si>
    <t>Empleado 79</t>
  </si>
  <si>
    <t>Empleado 80</t>
  </si>
  <si>
    <t>Empleado 81</t>
  </si>
  <si>
    <t>Empleado 82</t>
  </si>
  <si>
    <t>Empleado 83</t>
  </si>
  <si>
    <t>Empleado 84</t>
  </si>
  <si>
    <t>Empleado 85</t>
  </si>
  <si>
    <t>Empleado 86</t>
  </si>
  <si>
    <t>Empleado 87</t>
  </si>
  <si>
    <t>Empleado 88</t>
  </si>
  <si>
    <t>Empleado 89</t>
  </si>
  <si>
    <t>Empleado 90</t>
  </si>
  <si>
    <t>Empleado 91</t>
  </si>
  <si>
    <t>Empleado 92</t>
  </si>
  <si>
    <t>Empleado 93</t>
  </si>
  <si>
    <t>Empleado 94</t>
  </si>
  <si>
    <t>Empleado 95</t>
  </si>
  <si>
    <t>Empleado 96</t>
  </si>
  <si>
    <t>Empleado 97</t>
  </si>
  <si>
    <t>Empleado 98</t>
  </si>
  <si>
    <t>Emp 017</t>
  </si>
  <si>
    <t>Emp 018</t>
  </si>
  <si>
    <t>Emp 019</t>
  </si>
  <si>
    <t>Emp 020</t>
  </si>
  <si>
    <t>Emp 021</t>
  </si>
  <si>
    <t>Emp 022</t>
  </si>
  <si>
    <t>Emp 023</t>
  </si>
  <si>
    <t>Emp 024</t>
  </si>
  <si>
    <t>Emp 025</t>
  </si>
  <si>
    <t>Emp 026</t>
  </si>
  <si>
    <t>Emp 027</t>
  </si>
  <si>
    <t>Emp 028</t>
  </si>
  <si>
    <t>Emp 029</t>
  </si>
  <si>
    <t>Emp 030</t>
  </si>
  <si>
    <t>Emp 031</t>
  </si>
  <si>
    <t>Emp 032</t>
  </si>
  <si>
    <t>Emp 033</t>
  </si>
  <si>
    <t>Emp 034</t>
  </si>
  <si>
    <t>Emp 035</t>
  </si>
  <si>
    <t>Emp 036</t>
  </si>
  <si>
    <t>Emp 037</t>
  </si>
  <si>
    <t>Emp 038</t>
  </si>
  <si>
    <t>Emp 039</t>
  </si>
  <si>
    <t>Emp 040</t>
  </si>
  <si>
    <t>Emp 041</t>
  </si>
  <si>
    <t>Emp 042</t>
  </si>
  <si>
    <t>Emp 043</t>
  </si>
  <si>
    <t>Emp 044</t>
  </si>
  <si>
    <t>Emp 045</t>
  </si>
  <si>
    <t>Emp 046</t>
  </si>
  <si>
    <t>Emp 047</t>
  </si>
  <si>
    <t>Emp 048</t>
  </si>
  <si>
    <t>Emp 049</t>
  </si>
  <si>
    <t>Emp 050</t>
  </si>
  <si>
    <t>Emp 051</t>
  </si>
  <si>
    <t>Emp 052</t>
  </si>
  <si>
    <t>Emp 053</t>
  </si>
  <si>
    <t>Emp 054</t>
  </si>
  <si>
    <t>Emp 055</t>
  </si>
  <si>
    <t>Emp 056</t>
  </si>
  <si>
    <t>Emp 057</t>
  </si>
  <si>
    <t>Emp 058</t>
  </si>
  <si>
    <t>Emp 059</t>
  </si>
  <si>
    <t>Emp 060</t>
  </si>
  <si>
    <t>Emp 061</t>
  </si>
  <si>
    <t>Emp 062</t>
  </si>
  <si>
    <t>Emp 063</t>
  </si>
  <si>
    <t>Emp 064</t>
  </si>
  <si>
    <t>Emp 065</t>
  </si>
  <si>
    <t>Emp 066</t>
  </si>
  <si>
    <t>Emp 067</t>
  </si>
  <si>
    <t>Emp 068</t>
  </si>
  <si>
    <t>Emp 069</t>
  </si>
  <si>
    <t>Emp 070</t>
  </si>
  <si>
    <t>Emp 071</t>
  </si>
  <si>
    <t>Emp 072</t>
  </si>
  <si>
    <t>Emp 073</t>
  </si>
  <si>
    <t>Emp 074</t>
  </si>
  <si>
    <t>Emp 075</t>
  </si>
  <si>
    <t>Emp 076</t>
  </si>
  <si>
    <t>Emp 077</t>
  </si>
  <si>
    <t>Emp 078</t>
  </si>
  <si>
    <t>Emp 079</t>
  </si>
  <si>
    <t>Emp 080</t>
  </si>
  <si>
    <t>Emp 081</t>
  </si>
  <si>
    <t>Emp 082</t>
  </si>
  <si>
    <t>Emp 083</t>
  </si>
  <si>
    <t>Emp 084</t>
  </si>
  <si>
    <t>Emp 085</t>
  </si>
  <si>
    <t>Emp 086</t>
  </si>
  <si>
    <t>Emp 087</t>
  </si>
  <si>
    <t>Emp 088</t>
  </si>
  <si>
    <t>Emp 089</t>
  </si>
  <si>
    <t>Emp 090</t>
  </si>
  <si>
    <t>Emp 091</t>
  </si>
  <si>
    <t>Emp 092</t>
  </si>
  <si>
    <t>Emp 093</t>
  </si>
  <si>
    <t>Emp 094</t>
  </si>
  <si>
    <t>Emp 095</t>
  </si>
  <si>
    <t>Emp 096</t>
  </si>
  <si>
    <t>Emp 097</t>
  </si>
  <si>
    <t>Emp 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</si>
</sst>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$_-;\-* #,##0.00_$_-;_-* &quot;-&quot;??_$_-;_-@_-"/>
    <numFmt numFmtId="166" formatCode="0.0000%"/>
    <numFmt numFmtId="167" formatCode="0.000%"/>
    <numFmt numFmtId="168" formatCode="_-[$€-2]* #,##0.00_-;\-[$€-2]* #,##0.00_-;_-[$€-2]* &quot;-&quot;??_-"/>
    <numFmt numFmtId="169" formatCode="#,##0.00_ ;[Red]\-#,##0.00\ "/>
    <numFmt numFmtId="170" formatCode="[$$-80A]#,##0.00"/>
    <numFmt numFmtId="171" formatCode="#,##0.00_ ;\-#,##0.00\ "/>
    <numFmt numFmtId="172" formatCode="[$-F800]dddd\,\ mmmm\ dd\,\ yyyy"/>
    <numFmt numFmtId="173" formatCode="&quot;$&quot;#,##0.00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8"/>
      <name val="Maiandra GD"/>
      <family val="2"/>
    </font>
    <font>
      <sz val="8"/>
      <name val="Maiandra GD"/>
      <family val="2"/>
    </font>
    <font>
      <sz val="8"/>
      <name val="Arial"/>
      <family val="2"/>
    </font>
    <font>
      <b/>
      <sz val="16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rgb="FFCC9900"/>
      <name val="Cambria"/>
      <family val="1"/>
      <scheme val="major"/>
    </font>
    <font>
      <b/>
      <sz val="10"/>
      <color rgb="FFCC9900"/>
      <name val="Cambria"/>
      <family val="1"/>
      <scheme val="major"/>
    </font>
    <font>
      <sz val="9"/>
      <color rgb="FFCC9900"/>
      <name val="Arial"/>
      <family val="2"/>
    </font>
    <font>
      <sz val="11"/>
      <name val="Cambria"/>
      <family val="1"/>
      <scheme val="major"/>
    </font>
    <font>
      <b/>
      <sz val="16"/>
      <color rgb="FFCC9900"/>
      <name val="Cambria"/>
      <family val="1"/>
      <scheme val="major"/>
    </font>
    <font>
      <b/>
      <sz val="9"/>
      <color indexed="9"/>
      <name val="Cambria"/>
      <family val="1"/>
      <scheme val="major"/>
    </font>
    <font>
      <sz val="10"/>
      <name val="Cambria"/>
      <family val="1"/>
      <scheme val="major"/>
    </font>
    <font>
      <b/>
      <i/>
      <sz val="9"/>
      <name val="Cambria"/>
      <family val="1"/>
      <scheme val="major"/>
    </font>
    <font>
      <b/>
      <sz val="25"/>
      <color rgb="FF660066"/>
      <name val="Cambria"/>
      <family val="1"/>
      <scheme val="major"/>
    </font>
    <font>
      <b/>
      <sz val="26"/>
      <name val="Cambria"/>
      <family val="1"/>
      <scheme val="major"/>
    </font>
    <font>
      <sz val="9"/>
      <color rgb="FFCC9900"/>
      <name val="Cambria"/>
      <family val="1"/>
      <scheme val="major"/>
    </font>
    <font>
      <sz val="9"/>
      <color indexed="8"/>
      <name val="Cambria"/>
      <family val="1"/>
      <scheme val="major"/>
    </font>
    <font>
      <b/>
      <sz val="9"/>
      <color indexed="8"/>
      <name val="Cambria"/>
      <family val="1"/>
      <scheme val="major"/>
    </font>
    <font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7"/>
      <name val="Arial"/>
      <family val="2"/>
    </font>
    <font>
      <sz val="7"/>
      <color theme="1"/>
      <name val="Calibri"/>
      <family val="2"/>
      <scheme val="minor"/>
    </font>
    <font>
      <b/>
      <sz val="9"/>
      <color rgb="FFCC9900"/>
      <name val="Arial"/>
      <family val="2"/>
    </font>
    <font>
      <sz val="7"/>
      <name val="Arial"/>
      <family val="2"/>
    </font>
  </fonts>
  <fills count="8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CC9900"/>
      </left>
      <right style="hair">
        <color rgb="FFCC9900"/>
      </right>
      <top style="hair">
        <color rgb="FFCC9900"/>
      </top>
      <bottom style="hair">
        <color rgb="FFCC9900"/>
      </bottom>
      <diagonal/>
    </border>
    <border>
      <left style="hair">
        <color rgb="FF660066"/>
      </left>
      <right style="hair">
        <color rgb="FF660066"/>
      </right>
      <top style="hair">
        <color rgb="FF660066"/>
      </top>
      <bottom style="hair">
        <color rgb="FF660066"/>
      </bottom>
      <diagonal/>
    </border>
    <border>
      <left style="hair">
        <color rgb="FFCC9900"/>
      </left>
      <right style="hair">
        <color rgb="FFCC9900"/>
      </right>
      <top/>
      <bottom style="hair">
        <color rgb="FFCC9900"/>
      </bottom>
      <diagonal/>
    </border>
    <border>
      <left style="medium">
        <color rgb="FF660066"/>
      </left>
      <right style="hair">
        <color rgb="FF660066"/>
      </right>
      <top style="medium">
        <color rgb="FF660066"/>
      </top>
      <bottom style="hair">
        <color rgb="FF660066"/>
      </bottom>
      <diagonal/>
    </border>
    <border>
      <left style="hair">
        <color rgb="FF660066"/>
      </left>
      <right style="hair">
        <color rgb="FF660066"/>
      </right>
      <top style="medium">
        <color rgb="FF660066"/>
      </top>
      <bottom style="hair">
        <color rgb="FF660066"/>
      </bottom>
      <diagonal/>
    </border>
    <border>
      <left style="hair">
        <color rgb="FF660066"/>
      </left>
      <right style="medium">
        <color rgb="FF660066"/>
      </right>
      <top style="medium">
        <color rgb="FF660066"/>
      </top>
      <bottom style="hair">
        <color rgb="FF660066"/>
      </bottom>
      <diagonal/>
    </border>
    <border>
      <left style="medium">
        <color rgb="FF660066"/>
      </left>
      <right style="hair">
        <color rgb="FF660066"/>
      </right>
      <top style="hair">
        <color rgb="FF660066"/>
      </top>
      <bottom style="medium">
        <color rgb="FF660066"/>
      </bottom>
      <diagonal/>
    </border>
    <border>
      <left style="hair">
        <color rgb="FF660066"/>
      </left>
      <right style="hair">
        <color rgb="FF660066"/>
      </right>
      <top style="hair">
        <color rgb="FF660066"/>
      </top>
      <bottom style="medium">
        <color rgb="FF660066"/>
      </bottom>
      <diagonal/>
    </border>
    <border>
      <left style="hair">
        <color rgb="FF660066"/>
      </left>
      <right style="medium">
        <color rgb="FF660066"/>
      </right>
      <top style="hair">
        <color rgb="FF660066"/>
      </top>
      <bottom style="medium">
        <color rgb="FF660066"/>
      </bottom>
      <diagonal/>
    </border>
    <border>
      <left style="medium">
        <color rgb="FF660066"/>
      </left>
      <right style="hair">
        <color rgb="FF660066"/>
      </right>
      <top style="hair">
        <color rgb="FF660066"/>
      </top>
      <bottom style="hair">
        <color rgb="FF660066"/>
      </bottom>
      <diagonal/>
    </border>
    <border>
      <left style="hair">
        <color rgb="FF660066"/>
      </left>
      <right style="medium">
        <color rgb="FF660066"/>
      </right>
      <top style="hair">
        <color rgb="FF660066"/>
      </top>
      <bottom style="hair">
        <color rgb="FF660066"/>
      </bottom>
      <diagonal/>
    </border>
    <border>
      <left style="medium">
        <color rgb="FF660066"/>
      </left>
      <right/>
      <top style="medium">
        <color rgb="FF660066"/>
      </top>
      <bottom style="medium">
        <color rgb="FF660066"/>
      </bottom>
      <diagonal/>
    </border>
    <border>
      <left/>
      <right style="medium">
        <color rgb="FF660066"/>
      </right>
      <top style="medium">
        <color rgb="FF660066"/>
      </top>
      <bottom style="medium">
        <color rgb="FF660066"/>
      </bottom>
      <diagonal/>
    </border>
    <border>
      <left style="hair">
        <color rgb="FFCC9900"/>
      </left>
      <right style="hair">
        <color rgb="FFCC9900"/>
      </right>
      <top style="hair">
        <color rgb="FFCC9900"/>
      </top>
      <bottom/>
      <diagonal/>
    </border>
    <border>
      <left style="hair">
        <color rgb="FFCC9900"/>
      </left>
      <right/>
      <top style="hair">
        <color rgb="FFCC9900"/>
      </top>
      <bottom/>
      <diagonal/>
    </border>
    <border>
      <left/>
      <right style="hair">
        <color rgb="FFCC9900"/>
      </right>
      <top style="hair">
        <color rgb="FFCC9900"/>
      </top>
      <bottom/>
      <diagonal/>
    </border>
    <border>
      <left style="hair">
        <color rgb="FF660066"/>
      </left>
      <right style="hair">
        <color rgb="FF660066"/>
      </right>
      <top style="hair">
        <color rgb="FF660066"/>
      </top>
      <bottom/>
      <diagonal/>
    </border>
    <border>
      <left style="thin">
        <color rgb="FF660066"/>
      </left>
      <right style="thin">
        <color rgb="FF660066"/>
      </right>
      <top style="thin">
        <color rgb="FF660066"/>
      </top>
      <bottom style="thin">
        <color rgb="FF660066"/>
      </bottom>
      <diagonal/>
    </border>
    <border>
      <left style="medium">
        <color rgb="FF660066"/>
      </left>
      <right style="thin">
        <color rgb="FF660066"/>
      </right>
      <top style="medium">
        <color rgb="FF660066"/>
      </top>
      <bottom style="medium">
        <color rgb="FF660066"/>
      </bottom>
      <diagonal/>
    </border>
    <border>
      <left style="thin">
        <color rgb="FF660066"/>
      </left>
      <right style="thin">
        <color rgb="FF660066"/>
      </right>
      <top style="medium">
        <color rgb="FF660066"/>
      </top>
      <bottom style="medium">
        <color rgb="FF660066"/>
      </bottom>
      <diagonal/>
    </border>
    <border>
      <left style="thin">
        <color rgb="FF660066"/>
      </left>
      <right style="medium">
        <color rgb="FF660066"/>
      </right>
      <top style="medium">
        <color rgb="FF660066"/>
      </top>
      <bottom style="medium">
        <color rgb="FF660066"/>
      </bottom>
      <diagonal/>
    </border>
    <border>
      <left/>
      <right/>
      <top style="hair">
        <color rgb="FF660066"/>
      </top>
      <bottom style="hair">
        <color rgb="FF660066"/>
      </bottom>
      <diagonal/>
    </border>
    <border>
      <left/>
      <right/>
      <top style="hair">
        <color rgb="FF660066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hair">
        <color rgb="FFCC9900"/>
      </right>
      <top style="medium">
        <color theme="7" tint="-0.499984740745262"/>
      </top>
      <bottom style="medium">
        <color theme="7" tint="-0.499984740745262"/>
      </bottom>
      <diagonal/>
    </border>
    <border>
      <left style="hair">
        <color rgb="FFCC9900"/>
      </left>
      <right style="hair">
        <color rgb="FFCC9900"/>
      </right>
      <top style="medium">
        <color theme="7" tint="-0.499984740745262"/>
      </top>
      <bottom style="medium">
        <color theme="7" tint="-0.499984740745262"/>
      </bottom>
      <diagonal/>
    </border>
    <border>
      <left style="hair">
        <color rgb="FFCC9900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hair">
        <color rgb="FF660066"/>
      </right>
      <top style="medium">
        <color theme="7" tint="-0.499984740745262"/>
      </top>
      <bottom style="hair">
        <color rgb="FF660066"/>
      </bottom>
      <diagonal/>
    </border>
    <border>
      <left style="hair">
        <color rgb="FF660066"/>
      </left>
      <right style="hair">
        <color rgb="FF660066"/>
      </right>
      <top style="medium">
        <color theme="7" tint="-0.499984740745262"/>
      </top>
      <bottom style="hair">
        <color rgb="FF660066"/>
      </bottom>
      <diagonal/>
    </border>
    <border>
      <left style="hair">
        <color rgb="FF660066"/>
      </left>
      <right style="medium">
        <color theme="7" tint="-0.499984740745262"/>
      </right>
      <top style="medium">
        <color theme="7" tint="-0.499984740745262"/>
      </top>
      <bottom style="hair">
        <color rgb="FF660066"/>
      </bottom>
      <diagonal/>
    </border>
    <border>
      <left style="medium">
        <color theme="7" tint="-0.499984740745262"/>
      </left>
      <right style="hair">
        <color rgb="FF660066"/>
      </right>
      <top style="hair">
        <color rgb="FF660066"/>
      </top>
      <bottom style="medium">
        <color rgb="FF660066"/>
      </bottom>
      <diagonal/>
    </border>
    <border>
      <left style="hair">
        <color rgb="FF660066"/>
      </left>
      <right style="medium">
        <color theme="7" tint="-0.499984740745262"/>
      </right>
      <top style="hair">
        <color rgb="FF660066"/>
      </top>
      <bottom style="medium">
        <color rgb="FF660066"/>
      </bottom>
      <diagonal/>
    </border>
    <border>
      <left style="medium">
        <color theme="7" tint="-0.499984740745262"/>
      </left>
      <right style="hair">
        <color rgb="FFCC9900"/>
      </right>
      <top/>
      <bottom style="hair">
        <color rgb="FFCC9900"/>
      </bottom>
      <diagonal/>
    </border>
    <border>
      <left style="hair">
        <color rgb="FFCC9900"/>
      </left>
      <right style="medium">
        <color theme="7" tint="-0.499984740745262"/>
      </right>
      <top/>
      <bottom style="hair">
        <color rgb="FFCC9900"/>
      </bottom>
      <diagonal/>
    </border>
    <border>
      <left style="medium">
        <color theme="7" tint="-0.499984740745262"/>
      </left>
      <right/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 style="hair">
        <color rgb="FFCC9900"/>
      </left>
      <right style="hair">
        <color rgb="FFCC9900"/>
      </right>
      <top/>
      <bottom style="medium">
        <color theme="7" tint="-0.499984740745262"/>
      </bottom>
      <diagonal/>
    </border>
    <border>
      <left style="hair">
        <color rgb="FFCC9900"/>
      </left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</borders>
  <cellStyleXfs count="2954">
    <xf numFmtId="0" fontId="0" fillId="0" borderId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0" borderId="0"/>
    <xf numFmtId="0" fontId="6" fillId="0" borderId="0"/>
    <xf numFmtId="0" fontId="6" fillId="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0" borderId="0"/>
    <xf numFmtId="0" fontId="6" fillId="0" borderId="0"/>
    <xf numFmtId="0" fontId="6" fillId="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0" borderId="0"/>
    <xf numFmtId="0" fontId="6" fillId="0" borderId="0"/>
    <xf numFmtId="0" fontId="6" fillId="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0" borderId="0"/>
    <xf numFmtId="0" fontId="6" fillId="0" borderId="0"/>
    <xf numFmtId="0" fontId="6" fillId="1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0" borderId="0"/>
    <xf numFmtId="0" fontId="6" fillId="0" borderId="0"/>
    <xf numFmtId="0" fontId="6" fillId="1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0" borderId="0"/>
    <xf numFmtId="0" fontId="6" fillId="0" borderId="0"/>
    <xf numFmtId="0" fontId="6" fillId="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0" borderId="0"/>
    <xf numFmtId="0" fontId="6" fillId="0" borderId="0"/>
    <xf numFmtId="0" fontId="6" fillId="2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0" borderId="0"/>
    <xf numFmtId="0" fontId="6" fillId="0" borderId="0"/>
    <xf numFmtId="0" fontId="7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0" borderId="0"/>
    <xf numFmtId="0" fontId="6" fillId="0" borderId="0"/>
    <xf numFmtId="0" fontId="7" fillId="1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0" borderId="0"/>
    <xf numFmtId="0" fontId="6" fillId="0" borderId="0"/>
    <xf numFmtId="0" fontId="7" fillId="1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6" fillId="0" borderId="0"/>
    <xf numFmtId="0" fontId="6" fillId="0" borderId="0"/>
    <xf numFmtId="0" fontId="7" fillId="2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6" fillId="0" borderId="0"/>
    <xf numFmtId="0" fontId="6" fillId="0" borderId="0"/>
    <xf numFmtId="0" fontId="7" fillId="2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6" fillId="0" borderId="0"/>
    <xf numFmtId="0" fontId="6" fillId="0" borderId="0"/>
    <xf numFmtId="0" fontId="7" fillId="2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6" fillId="0" borderId="0"/>
    <xf numFmtId="0" fontId="6" fillId="0" borderId="0"/>
    <xf numFmtId="0" fontId="8" fillId="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6" fillId="0" borderId="0"/>
    <xf numFmtId="0" fontId="6" fillId="0" borderId="0"/>
    <xf numFmtId="0" fontId="6" fillId="0" borderId="0"/>
    <xf numFmtId="0" fontId="9" fillId="31" borderId="1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30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9" fillId="31" borderId="1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6" fillId="0" borderId="0"/>
    <xf numFmtId="0" fontId="6" fillId="0" borderId="0"/>
    <xf numFmtId="0" fontId="6" fillId="0" borderId="0"/>
    <xf numFmtId="0" fontId="10" fillId="33" borderId="2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32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0" fillId="33" borderId="2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11" fillId="0" borderId="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2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7" fillId="3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7" fillId="3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7" fillId="39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7" fillId="2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7" fillId="2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7" fillId="4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6" fillId="0" borderId="0"/>
    <xf numFmtId="0" fontId="6" fillId="0" borderId="0"/>
    <xf numFmtId="0" fontId="6" fillId="0" borderId="0"/>
    <xf numFmtId="0" fontId="13" fillId="13" borderId="1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12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0" fontId="13" fillId="13" borderId="1" applyNumberFormat="0" applyAlignment="0" applyProtection="0"/>
    <xf numFmtId="168" fontId="5" fillId="0" borderId="0" applyFont="0" applyFill="0" applyBorder="0" applyAlignment="0" applyProtection="0"/>
    <xf numFmtId="0" fontId="6" fillId="0" borderId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14" fillId="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15" fillId="4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2" fillId="0" borderId="0"/>
    <xf numFmtId="0" fontId="29" fillId="0" borderId="0"/>
    <xf numFmtId="0" fontId="16" fillId="0" borderId="0"/>
    <xf numFmtId="0" fontId="2" fillId="0" borderId="0"/>
    <xf numFmtId="0" fontId="5" fillId="0" borderId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45" borderId="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4" borderId="4" applyNumberFormat="0" applyFon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0" fontId="6" fillId="45" borderId="4" applyNumberForma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6" fillId="0" borderId="0"/>
    <xf numFmtId="0" fontId="6" fillId="0" borderId="0"/>
    <xf numFmtId="0" fontId="6" fillId="0" borderId="0"/>
    <xf numFmtId="0" fontId="17" fillId="31" borderId="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30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7" fillId="31" borderId="5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8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0" fillId="0" borderId="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2" fillId="0" borderId="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12" fillId="0" borderId="8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3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4" fillId="0" borderId="0" applyNumberFormat="0" applyFill="0" applyBorder="0" applyAlignment="0" applyProtection="0"/>
    <xf numFmtId="0" fontId="35" fillId="47" borderId="0" applyNumberFormat="0" applyBorder="0" applyAlignment="0" applyProtection="0"/>
    <xf numFmtId="0" fontId="36" fillId="48" borderId="0" applyNumberFormat="0" applyBorder="0" applyAlignment="0" applyProtection="0"/>
    <xf numFmtId="0" fontId="37" fillId="49" borderId="14" applyNumberFormat="0" applyAlignment="0" applyProtection="0"/>
    <xf numFmtId="0" fontId="38" fillId="50" borderId="15" applyNumberFormat="0" applyAlignment="0" applyProtection="0"/>
    <xf numFmtId="0" fontId="39" fillId="50" borderId="14" applyNumberFormat="0" applyAlignment="0" applyProtection="0"/>
    <xf numFmtId="0" fontId="40" fillId="0" borderId="16" applyNumberFormat="0" applyFill="0" applyAlignment="0" applyProtection="0"/>
    <xf numFmtId="0" fontId="41" fillId="51" borderId="17" applyNumberFormat="0" applyAlignment="0" applyProtection="0"/>
    <xf numFmtId="0" fontId="42" fillId="0" borderId="0" applyNumberFormat="0" applyFill="0" applyBorder="0" applyAlignment="0" applyProtection="0"/>
    <xf numFmtId="0" fontId="29" fillId="52" borderId="18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19" applyNumberFormat="0" applyFill="0" applyAlignment="0" applyProtection="0"/>
    <xf numFmtId="0" fontId="45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5" borderId="0" applyNumberFormat="0" applyBorder="0" applyAlignment="0" applyProtection="0"/>
    <xf numFmtId="0" fontId="45" fillId="56" borderId="0" applyNumberFormat="0" applyBorder="0" applyAlignment="0" applyProtection="0"/>
    <xf numFmtId="0" fontId="45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45" fillId="60" borderId="0" applyNumberFormat="0" applyBorder="0" applyAlignment="0" applyProtection="0"/>
    <xf numFmtId="0" fontId="45" fillId="61" borderId="0" applyNumberFormat="0" applyBorder="0" applyAlignment="0" applyProtection="0"/>
    <xf numFmtId="0" fontId="29" fillId="62" borderId="0" applyNumberFormat="0" applyBorder="0" applyAlignment="0" applyProtection="0"/>
    <xf numFmtId="0" fontId="29" fillId="63" borderId="0" applyNumberFormat="0" applyBorder="0" applyAlignment="0" applyProtection="0"/>
    <xf numFmtId="0" fontId="45" fillId="64" borderId="0" applyNumberFormat="0" applyBorder="0" applyAlignment="0" applyProtection="0"/>
    <xf numFmtId="0" fontId="45" fillId="65" borderId="0" applyNumberFormat="0" applyBorder="0" applyAlignment="0" applyProtection="0"/>
    <xf numFmtId="0" fontId="29" fillId="66" borderId="0" applyNumberFormat="0" applyBorder="0" applyAlignment="0" applyProtection="0"/>
    <xf numFmtId="0" fontId="29" fillId="67" borderId="0" applyNumberFormat="0" applyBorder="0" applyAlignment="0" applyProtection="0"/>
    <xf numFmtId="0" fontId="45" fillId="68" borderId="0" applyNumberFormat="0" applyBorder="0" applyAlignment="0" applyProtection="0"/>
    <xf numFmtId="0" fontId="45" fillId="69" borderId="0" applyNumberFormat="0" applyBorder="0" applyAlignment="0" applyProtection="0"/>
    <xf numFmtId="0" fontId="29" fillId="70" borderId="0" applyNumberFormat="0" applyBorder="0" applyAlignment="0" applyProtection="0"/>
    <xf numFmtId="0" fontId="29" fillId="71" borderId="0" applyNumberFormat="0" applyBorder="0" applyAlignment="0" applyProtection="0"/>
    <xf numFmtId="0" fontId="45" fillId="72" borderId="0" applyNumberFormat="0" applyBorder="0" applyAlignment="0" applyProtection="0"/>
    <xf numFmtId="0" fontId="45" fillId="73" borderId="0" applyNumberFormat="0" applyBorder="0" applyAlignment="0" applyProtection="0"/>
    <xf numFmtId="0" fontId="29" fillId="74" borderId="0" applyNumberFormat="0" applyBorder="0" applyAlignment="0" applyProtection="0"/>
    <xf numFmtId="0" fontId="29" fillId="75" borderId="0" applyNumberFormat="0" applyBorder="0" applyAlignment="0" applyProtection="0"/>
    <xf numFmtId="0" fontId="45" fillId="7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4" borderId="4" applyNumberFormat="0" applyFon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3" fontId="29" fillId="0" borderId="0" applyFont="0" applyFill="0" applyBorder="0" applyAlignment="0" applyProtection="0"/>
  </cellStyleXfs>
  <cellXfs count="235">
    <xf numFmtId="0" fontId="0" fillId="0" borderId="0" xfId="0"/>
    <xf numFmtId="0" fontId="3" fillId="0" borderId="0" xfId="1501" applyFont="1"/>
    <xf numFmtId="0" fontId="3" fillId="0" borderId="0" xfId="1501" applyFont="1" applyAlignment="1">
      <alignment horizontal="center"/>
    </xf>
    <xf numFmtId="43" fontId="3" fillId="0" borderId="0" xfId="1446" applyFont="1"/>
    <xf numFmtId="0" fontId="3" fillId="0" borderId="0" xfId="1501" applyFont="1" applyAlignment="1">
      <alignment horizontal="center" vertical="center"/>
    </xf>
    <xf numFmtId="0" fontId="3" fillId="0" borderId="0" xfId="1501" applyFont="1" applyAlignment="1">
      <alignment vertical="center"/>
    </xf>
    <xf numFmtId="0" fontId="4" fillId="0" borderId="0" xfId="1501" applyFont="1"/>
    <xf numFmtId="43" fontId="4" fillId="0" borderId="0" xfId="1501" applyNumberFormat="1" applyFont="1"/>
    <xf numFmtId="43" fontId="3" fillId="0" borderId="0" xfId="1501" applyNumberFormat="1" applyFont="1"/>
    <xf numFmtId="43" fontId="25" fillId="0" borderId="0" xfId="0" applyNumberFormat="1" applyFont="1"/>
    <xf numFmtId="170" fontId="3" fillId="0" borderId="0" xfId="1501" applyNumberFormat="1" applyFont="1"/>
    <xf numFmtId="4" fontId="3" fillId="0" borderId="0" xfId="1501" applyNumberFormat="1" applyFont="1"/>
    <xf numFmtId="4" fontId="26" fillId="0" borderId="0" xfId="0" applyNumberFormat="1" applyFont="1"/>
    <xf numFmtId="0" fontId="27" fillId="0" borderId="0" xfId="1501" applyFont="1"/>
    <xf numFmtId="165" fontId="4" fillId="0" borderId="0" xfId="1501" applyNumberFormat="1" applyFont="1"/>
    <xf numFmtId="165" fontId="4" fillId="0" borderId="0" xfId="1501" applyNumberFormat="1" applyFont="1" applyAlignment="1">
      <alignment horizontal="center"/>
    </xf>
    <xf numFmtId="43" fontId="26" fillId="0" borderId="0" xfId="0" applyNumberFormat="1" applyFont="1"/>
    <xf numFmtId="0" fontId="50" fillId="0" borderId="0" xfId="1501" applyFont="1" applyAlignment="1">
      <alignment horizontal="center" vertical="center"/>
    </xf>
    <xf numFmtId="49" fontId="49" fillId="0" borderId="0" xfId="1501" applyNumberFormat="1" applyFont="1" applyAlignment="1">
      <alignment horizontal="center" vertical="center" wrapText="1"/>
    </xf>
    <xf numFmtId="170" fontId="25" fillId="0" borderId="0" xfId="0" applyNumberFormat="1" applyFont="1" applyAlignment="1">
      <alignment horizontal="center" vertical="center"/>
    </xf>
    <xf numFmtId="170" fontId="24" fillId="0" borderId="0" xfId="0" applyNumberFormat="1" applyFont="1" applyAlignment="1">
      <alignment horizontal="center" vertical="center"/>
    </xf>
    <xf numFmtId="0" fontId="50" fillId="0" borderId="0" xfId="1501" applyFont="1" applyAlignment="1">
      <alignment vertical="center"/>
    </xf>
    <xf numFmtId="43" fontId="46" fillId="0" borderId="0" xfId="1501" applyNumberFormat="1" applyFont="1"/>
    <xf numFmtId="0" fontId="46" fillId="0" borderId="0" xfId="1501" applyFont="1"/>
    <xf numFmtId="0" fontId="46" fillId="0" borderId="0" xfId="1501" applyFont="1" applyAlignment="1">
      <alignment horizontal="center" vertical="center"/>
    </xf>
    <xf numFmtId="0" fontId="46" fillId="0" borderId="0" xfId="1501" applyFont="1" applyAlignment="1">
      <alignment vertical="center"/>
    </xf>
    <xf numFmtId="43" fontId="46" fillId="0" borderId="0" xfId="1446" applyFont="1" applyAlignment="1">
      <alignment vertical="center"/>
    </xf>
    <xf numFmtId="0" fontId="47" fillId="0" borderId="0" xfId="1501" applyFont="1" applyAlignment="1">
      <alignment horizontal="center" vertical="center"/>
    </xf>
    <xf numFmtId="164" fontId="46" fillId="0" borderId="0" xfId="1450" applyFont="1" applyAlignment="1">
      <alignment vertical="center"/>
    </xf>
    <xf numFmtId="43" fontId="46" fillId="0" borderId="0" xfId="1446" applyFont="1"/>
    <xf numFmtId="4" fontId="46" fillId="0" borderId="0" xfId="1501" applyNumberFormat="1" applyFont="1"/>
    <xf numFmtId="171" fontId="46" fillId="0" borderId="0" xfId="1501" applyNumberFormat="1" applyFont="1"/>
    <xf numFmtId="0" fontId="47" fillId="0" borderId="0" xfId="1501" applyFont="1"/>
    <xf numFmtId="0" fontId="47" fillId="0" borderId="0" xfId="1501" applyFont="1" applyAlignment="1">
      <alignment vertical="center"/>
    </xf>
    <xf numFmtId="43" fontId="47" fillId="0" borderId="0" xfId="1501" applyNumberFormat="1" applyFont="1"/>
    <xf numFmtId="43" fontId="46" fillId="0" borderId="0" xfId="0" applyNumberFormat="1" applyFont="1"/>
    <xf numFmtId="0" fontId="46" fillId="0" borderId="0" xfId="0" applyFont="1" applyAlignment="1">
      <alignment horizontal="left" vertical="center"/>
    </xf>
    <xf numFmtId="0" fontId="46" fillId="0" borderId="0" xfId="1501" applyFont="1" applyAlignment="1">
      <alignment horizontal="center"/>
    </xf>
    <xf numFmtId="0" fontId="47" fillId="0" borderId="0" xfId="1501" applyFont="1" applyAlignment="1">
      <alignment horizontal="center"/>
    </xf>
    <xf numFmtId="43" fontId="46" fillId="0" borderId="0" xfId="1501" applyNumberFormat="1" applyFont="1" applyAlignment="1">
      <alignment vertical="center"/>
    </xf>
    <xf numFmtId="0" fontId="54" fillId="0" borderId="0" xfId="1501" applyFont="1"/>
    <xf numFmtId="43" fontId="47" fillId="0" borderId="10" xfId="1501" applyNumberFormat="1" applyFont="1" applyBorder="1" applyAlignment="1">
      <alignment vertical="center"/>
    </xf>
    <xf numFmtId="43" fontId="55" fillId="46" borderId="0" xfId="1446" applyFont="1" applyFill="1"/>
    <xf numFmtId="0" fontId="46" fillId="0" borderId="0" xfId="0" applyFont="1" applyAlignment="1">
      <alignment horizontal="justify" vertical="center"/>
    </xf>
    <xf numFmtId="0" fontId="47" fillId="0" borderId="0" xfId="1446" applyNumberFormat="1" applyFont="1" applyAlignment="1">
      <alignment horizontal="center" vertical="center"/>
    </xf>
    <xf numFmtId="43" fontId="57" fillId="0" borderId="0" xfId="1446" applyFont="1" applyAlignment="1">
      <alignment vertical="center"/>
    </xf>
    <xf numFmtId="4" fontId="54" fillId="0" borderId="0" xfId="1501" applyNumberFormat="1" applyFont="1"/>
    <xf numFmtId="0" fontId="46" fillId="80" borderId="0" xfId="1501" applyFont="1" applyFill="1"/>
    <xf numFmtId="0" fontId="46" fillId="79" borderId="21" xfId="1501" applyFont="1" applyFill="1" applyBorder="1" applyAlignment="1">
      <alignment horizontal="center"/>
    </xf>
    <xf numFmtId="0" fontId="46" fillId="79" borderId="0" xfId="1501" applyFont="1" applyFill="1" applyAlignment="1">
      <alignment horizontal="center"/>
    </xf>
    <xf numFmtId="0" fontId="59" fillId="0" borderId="0" xfId="1498" applyFont="1" applyAlignment="1">
      <alignment horizontal="right" wrapText="1"/>
    </xf>
    <xf numFmtId="0" fontId="47" fillId="0" borderId="0" xfId="1498" applyFont="1"/>
    <xf numFmtId="0" fontId="59" fillId="0" borderId="0" xfId="1498" applyFont="1"/>
    <xf numFmtId="0" fontId="59" fillId="0" borderId="0" xfId="1498" applyFont="1" applyAlignment="1">
      <alignment horizontal="center"/>
    </xf>
    <xf numFmtId="0" fontId="60" fillId="0" borderId="0" xfId="1498" applyFont="1" applyAlignment="1">
      <alignment horizontal="center"/>
    </xf>
    <xf numFmtId="4" fontId="60" fillId="0" borderId="0" xfId="1498" applyNumberFormat="1" applyFont="1"/>
    <xf numFmtId="169" fontId="60" fillId="0" borderId="0" xfId="1498" applyNumberFormat="1" applyFont="1" applyAlignment="1">
      <alignment horizontal="center"/>
    </xf>
    <xf numFmtId="169" fontId="59" fillId="0" borderId="0" xfId="1498" applyNumberFormat="1" applyFont="1"/>
    <xf numFmtId="43" fontId="59" fillId="0" borderId="0" xfId="1447" applyFont="1"/>
    <xf numFmtId="0" fontId="60" fillId="0" borderId="0" xfId="1498" applyFont="1"/>
    <xf numFmtId="169" fontId="59" fillId="0" borderId="11" xfId="1447" applyNumberFormat="1" applyFont="1" applyBorder="1"/>
    <xf numFmtId="169" fontId="59" fillId="0" borderId="0" xfId="1447" applyNumberFormat="1" applyFont="1"/>
    <xf numFmtId="43" fontId="59" fillId="0" borderId="21" xfId="1447" applyFont="1" applyBorder="1" applyAlignment="1">
      <alignment horizontal="center" wrapText="1"/>
    </xf>
    <xf numFmtId="10" fontId="59" fillId="0" borderId="21" xfId="1550" applyNumberFormat="1" applyFont="1" applyBorder="1" applyAlignment="1">
      <alignment horizontal="center" wrapText="1"/>
    </xf>
    <xf numFmtId="43" fontId="59" fillId="0" borderId="0" xfId="1498" applyNumberFormat="1" applyFont="1"/>
    <xf numFmtId="10" fontId="59" fillId="0" borderId="11" xfId="1550" applyNumberFormat="1" applyFont="1" applyBorder="1"/>
    <xf numFmtId="0" fontId="62" fillId="77" borderId="0" xfId="0" applyFont="1" applyFill="1" applyAlignment="1">
      <alignment horizontal="right" vertical="top" wrapText="1"/>
    </xf>
    <xf numFmtId="4" fontId="62" fillId="77" borderId="0" xfId="0" applyNumberFormat="1" applyFont="1" applyFill="1" applyAlignment="1">
      <alignment horizontal="right" vertical="top" wrapText="1"/>
    </xf>
    <xf numFmtId="169" fontId="60" fillId="0" borderId="0" xfId="1447" applyNumberFormat="1" applyFont="1"/>
    <xf numFmtId="43" fontId="59" fillId="0" borderId="0" xfId="1447" applyFont="1" applyAlignment="1">
      <alignment horizontal="center" wrapText="1"/>
    </xf>
    <xf numFmtId="10" fontId="59" fillId="0" borderId="0" xfId="1550" applyNumberFormat="1" applyFont="1" applyAlignment="1">
      <alignment horizontal="center" wrapText="1"/>
    </xf>
    <xf numFmtId="0" fontId="59" fillId="0" borderId="20" xfId="1498" applyFont="1" applyBorder="1"/>
    <xf numFmtId="167" fontId="59" fillId="0" borderId="20" xfId="1498" applyNumberFormat="1" applyFont="1" applyBorder="1"/>
    <xf numFmtId="43" fontId="46" fillId="0" borderId="0" xfId="1446" applyFont="1" applyFill="1"/>
    <xf numFmtId="43" fontId="47" fillId="0" borderId="0" xfId="1446" applyFont="1"/>
    <xf numFmtId="4" fontId="3" fillId="0" borderId="0" xfId="1501" applyNumberFormat="1" applyFont="1" applyAlignment="1">
      <alignment vertical="center"/>
    </xf>
    <xf numFmtId="43" fontId="3" fillId="0" borderId="0" xfId="1501" applyNumberFormat="1" applyFont="1" applyAlignment="1">
      <alignment vertical="center"/>
    </xf>
    <xf numFmtId="43" fontId="3" fillId="0" borderId="0" xfId="1446" applyFont="1" applyAlignment="1">
      <alignment vertical="center"/>
    </xf>
    <xf numFmtId="0" fontId="46" fillId="0" borderId="23" xfId="1501" applyFont="1" applyBorder="1" applyAlignment="1">
      <alignment horizontal="center" vertical="center"/>
    </xf>
    <xf numFmtId="43" fontId="46" fillId="0" borderId="23" xfId="1446" applyFont="1" applyBorder="1"/>
    <xf numFmtId="43" fontId="46" fillId="0" borderId="23" xfId="1501" applyNumberFormat="1" applyFont="1" applyBorder="1"/>
    <xf numFmtId="4" fontId="46" fillId="0" borderId="23" xfId="1501" applyNumberFormat="1" applyFont="1" applyBorder="1"/>
    <xf numFmtId="170" fontId="46" fillId="0" borderId="22" xfId="0" applyNumberFormat="1" applyFont="1" applyBorder="1" applyAlignment="1">
      <alignment horizontal="center" vertical="center"/>
    </xf>
    <xf numFmtId="4" fontId="46" fillId="0" borderId="22" xfId="0" applyNumberFormat="1" applyFont="1" applyBorder="1" applyAlignment="1">
      <alignment horizontal="center" vertical="center"/>
    </xf>
    <xf numFmtId="49" fontId="47" fillId="0" borderId="22" xfId="0" applyNumberFormat="1" applyFont="1" applyBorder="1" applyAlignment="1">
      <alignment horizontal="center" vertical="center"/>
    </xf>
    <xf numFmtId="9" fontId="47" fillId="79" borderId="22" xfId="1549" applyFont="1" applyFill="1" applyBorder="1" applyAlignment="1">
      <alignment horizontal="center" vertical="center"/>
    </xf>
    <xf numFmtId="43" fontId="46" fillId="0" borderId="22" xfId="0" applyNumberFormat="1" applyFont="1" applyBorder="1" applyAlignment="1">
      <alignment horizontal="center" vertical="center"/>
    </xf>
    <xf numFmtId="0" fontId="46" fillId="0" borderId="30" xfId="0" applyFont="1" applyBorder="1" applyAlignment="1">
      <alignment horizontal="left" vertical="center"/>
    </xf>
    <xf numFmtId="170" fontId="46" fillId="0" borderId="31" xfId="0" applyNumberFormat="1" applyFont="1" applyBorder="1" applyAlignment="1">
      <alignment horizontal="right" vertical="center"/>
    </xf>
    <xf numFmtId="49" fontId="46" fillId="0" borderId="30" xfId="0" applyNumberFormat="1" applyFont="1" applyBorder="1" applyAlignment="1">
      <alignment horizontal="left" vertical="center"/>
    </xf>
    <xf numFmtId="49" fontId="46" fillId="78" borderId="30" xfId="0" applyNumberFormat="1" applyFont="1" applyFill="1" applyBorder="1" applyAlignment="1">
      <alignment horizontal="left" vertical="center"/>
    </xf>
    <xf numFmtId="170" fontId="46" fillId="78" borderId="31" xfId="0" applyNumberFormat="1" applyFont="1" applyFill="1" applyBorder="1" applyAlignment="1">
      <alignment horizontal="right" vertical="center"/>
    </xf>
    <xf numFmtId="0" fontId="46" fillId="78" borderId="30" xfId="0" applyFont="1" applyFill="1" applyBorder="1" applyAlignment="1">
      <alignment horizontal="left" vertical="center"/>
    </xf>
    <xf numFmtId="173" fontId="46" fillId="0" borderId="31" xfId="0" applyNumberFormat="1" applyFont="1" applyBorder="1" applyAlignment="1">
      <alignment horizontal="right" vertical="center"/>
    </xf>
    <xf numFmtId="170" fontId="47" fillId="0" borderId="28" xfId="0" applyNumberFormat="1" applyFont="1" applyBorder="1" applyAlignment="1">
      <alignment horizontal="center" vertical="center"/>
    </xf>
    <xf numFmtId="4" fontId="47" fillId="0" borderId="28" xfId="0" applyNumberFormat="1" applyFont="1" applyBorder="1" applyAlignment="1">
      <alignment horizontal="center" vertical="center"/>
    </xf>
    <xf numFmtId="170" fontId="47" fillId="79" borderId="29" xfId="0" applyNumberFormat="1" applyFont="1" applyFill="1" applyBorder="1" applyAlignment="1">
      <alignment horizontal="right" vertical="center"/>
    </xf>
    <xf numFmtId="0" fontId="47" fillId="0" borderId="34" xfId="1501" applyFont="1" applyBorder="1" applyAlignment="1">
      <alignment horizontal="center"/>
    </xf>
    <xf numFmtId="0" fontId="46" fillId="0" borderId="34" xfId="1501" applyFont="1" applyBorder="1"/>
    <xf numFmtId="0" fontId="46" fillId="0" borderId="34" xfId="1501" applyFont="1" applyBorder="1" applyAlignment="1">
      <alignment horizontal="center"/>
    </xf>
    <xf numFmtId="0" fontId="46" fillId="0" borderId="23" xfId="1501" applyFont="1" applyBorder="1"/>
    <xf numFmtId="43" fontId="46" fillId="0" borderId="23" xfId="1501" applyNumberFormat="1" applyFont="1" applyBorder="1" applyAlignment="1">
      <alignment vertical="center"/>
    </xf>
    <xf numFmtId="1" fontId="48" fillId="0" borderId="22" xfId="1501" applyNumberFormat="1" applyFont="1" applyBorder="1" applyAlignment="1">
      <alignment horizontal="center" vertical="center" wrapText="1"/>
    </xf>
    <xf numFmtId="49" fontId="48" fillId="0" borderId="22" xfId="1501" applyNumberFormat="1" applyFont="1" applyBorder="1" applyAlignment="1">
      <alignment horizontal="center" vertical="center" wrapText="1"/>
    </xf>
    <xf numFmtId="44" fontId="48" fillId="0" borderId="22" xfId="1501" applyNumberFormat="1" applyFont="1" applyBorder="1" applyAlignment="1">
      <alignment horizontal="center" vertical="center" wrapText="1"/>
    </xf>
    <xf numFmtId="0" fontId="46" fillId="0" borderId="22" xfId="1501" applyFont="1" applyBorder="1"/>
    <xf numFmtId="0" fontId="46" fillId="0" borderId="35" xfId="1501" applyFont="1" applyBorder="1"/>
    <xf numFmtId="0" fontId="46" fillId="0" borderId="36" xfId="1501" applyFont="1" applyBorder="1"/>
    <xf numFmtId="43" fontId="46" fillId="0" borderId="22" xfId="1501" applyNumberFormat="1" applyFont="1" applyBorder="1" applyAlignment="1">
      <alignment vertical="center"/>
    </xf>
    <xf numFmtId="0" fontId="46" fillId="0" borderId="22" xfId="1501" applyFont="1" applyBorder="1" applyAlignment="1">
      <alignment horizontal="center" vertical="center"/>
    </xf>
    <xf numFmtId="0" fontId="46" fillId="0" borderId="22" xfId="0" applyFont="1" applyBorder="1" applyAlignment="1">
      <alignment horizontal="justify" vertical="center"/>
    </xf>
    <xf numFmtId="0" fontId="46" fillId="0" borderId="22" xfId="1501" applyFont="1" applyBorder="1" applyAlignment="1">
      <alignment vertical="center"/>
    </xf>
    <xf numFmtId="0" fontId="47" fillId="0" borderId="22" xfId="1501" applyFont="1" applyBorder="1" applyAlignment="1">
      <alignment horizontal="center" vertical="center"/>
    </xf>
    <xf numFmtId="164" fontId="46" fillId="0" borderId="22" xfId="1450" applyFont="1" applyBorder="1" applyAlignment="1">
      <alignment vertical="center"/>
    </xf>
    <xf numFmtId="43" fontId="46" fillId="0" borderId="22" xfId="1501" applyNumberFormat="1" applyFont="1" applyBorder="1"/>
    <xf numFmtId="0" fontId="46" fillId="0" borderId="23" xfId="1501" applyFont="1" applyBorder="1" applyAlignment="1">
      <alignment vertical="center"/>
    </xf>
    <xf numFmtId="43" fontId="51" fillId="0" borderId="23" xfId="1446" applyFont="1" applyBorder="1" applyAlignment="1">
      <alignment horizontal="center" vertical="center"/>
    </xf>
    <xf numFmtId="0" fontId="47" fillId="0" borderId="23" xfId="1501" applyFont="1" applyBorder="1" applyAlignment="1">
      <alignment horizontal="center" vertical="center"/>
    </xf>
    <xf numFmtId="164" fontId="46" fillId="0" borderId="23" xfId="1450" applyFont="1" applyBorder="1" applyAlignment="1">
      <alignment vertical="center"/>
    </xf>
    <xf numFmtId="0" fontId="46" fillId="80" borderId="23" xfId="1501" applyFont="1" applyFill="1" applyBorder="1"/>
    <xf numFmtId="4" fontId="54" fillId="0" borderId="23" xfId="1501" applyNumberFormat="1" applyFont="1" applyBorder="1"/>
    <xf numFmtId="0" fontId="58" fillId="0" borderId="22" xfId="1501" applyFont="1" applyBorder="1"/>
    <xf numFmtId="0" fontId="48" fillId="0" borderId="24" xfId="1501" applyFont="1" applyBorder="1" applyAlignment="1">
      <alignment horizontal="center"/>
    </xf>
    <xf numFmtId="0" fontId="48" fillId="0" borderId="25" xfId="1501" applyFont="1" applyBorder="1" applyAlignment="1">
      <alignment horizontal="center"/>
    </xf>
    <xf numFmtId="0" fontId="58" fillId="0" borderId="25" xfId="1501" applyFont="1" applyBorder="1"/>
    <xf numFmtId="0" fontId="58" fillId="0" borderId="25" xfId="1501" applyFont="1" applyBorder="1" applyAlignment="1">
      <alignment horizontal="center"/>
    </xf>
    <xf numFmtId="0" fontId="46" fillId="0" borderId="25" xfId="1501" applyFont="1" applyBorder="1"/>
    <xf numFmtId="1" fontId="48" fillId="0" borderId="28" xfId="1501" applyNumberFormat="1" applyFont="1" applyBorder="1" applyAlignment="1">
      <alignment horizontal="center" vertical="center" wrapText="1"/>
    </xf>
    <xf numFmtId="10" fontId="48" fillId="0" borderId="28" xfId="1501" applyNumberFormat="1" applyFont="1" applyBorder="1" applyAlignment="1">
      <alignment horizontal="center" vertical="center" wrapText="1"/>
    </xf>
    <xf numFmtId="10" fontId="48" fillId="0" borderId="28" xfId="1549" applyNumberFormat="1" applyFont="1" applyFill="1" applyBorder="1" applyAlignment="1">
      <alignment horizontal="center" vertical="center" wrapText="1"/>
    </xf>
    <xf numFmtId="167" fontId="48" fillId="0" borderId="28" xfId="1549" applyNumberFormat="1" applyFont="1" applyFill="1" applyBorder="1" applyAlignment="1">
      <alignment horizontal="center" vertical="center" wrapText="1"/>
    </xf>
    <xf numFmtId="166" fontId="48" fillId="0" borderId="28" xfId="1549" applyNumberFormat="1" applyFont="1" applyFill="1" applyBorder="1" applyAlignment="1">
      <alignment horizontal="center" vertical="center" wrapText="1"/>
    </xf>
    <xf numFmtId="0" fontId="58" fillId="0" borderId="28" xfId="1501" applyFont="1" applyBorder="1"/>
    <xf numFmtId="0" fontId="46" fillId="0" borderId="28" xfId="1501" applyFont="1" applyBorder="1"/>
    <xf numFmtId="0" fontId="48" fillId="78" borderId="27" xfId="0" applyFont="1" applyFill="1" applyBorder="1" applyAlignment="1">
      <alignment horizontal="left" vertical="center" wrapText="1"/>
    </xf>
    <xf numFmtId="0" fontId="46" fillId="0" borderId="23" xfId="0" applyFont="1" applyBorder="1" applyAlignment="1">
      <alignment horizontal="center"/>
    </xf>
    <xf numFmtId="43" fontId="59" fillId="0" borderId="23" xfId="1447" applyFont="1" applyBorder="1"/>
    <xf numFmtId="44" fontId="61" fillId="0" borderId="23" xfId="1451" applyFont="1" applyBorder="1"/>
    <xf numFmtId="43" fontId="59" fillId="0" borderId="23" xfId="1447" applyFont="1" applyBorder="1" applyAlignment="1">
      <alignment horizontal="center" wrapText="1"/>
    </xf>
    <xf numFmtId="10" fontId="59" fillId="0" borderId="23" xfId="1550" applyNumberFormat="1" applyFont="1" applyBorder="1" applyAlignment="1">
      <alignment horizontal="center" wrapText="1"/>
    </xf>
    <xf numFmtId="0" fontId="48" fillId="0" borderId="39" xfId="1498" applyFont="1" applyBorder="1" applyAlignment="1">
      <alignment horizontal="center" vertical="center"/>
    </xf>
    <xf numFmtId="0" fontId="48" fillId="0" borderId="40" xfId="1498" applyFont="1" applyBorder="1" applyAlignment="1">
      <alignment horizontal="center" vertical="center"/>
    </xf>
    <xf numFmtId="0" fontId="48" fillId="0" borderId="41" xfId="1498" applyFont="1" applyBorder="1" applyAlignment="1">
      <alignment horizontal="center" vertical="center"/>
    </xf>
    <xf numFmtId="1" fontId="48" fillId="0" borderId="38" xfId="1501" applyNumberFormat="1" applyFont="1" applyBorder="1" applyAlignment="1">
      <alignment horizontal="center" vertical="center" wrapText="1"/>
    </xf>
    <xf numFmtId="49" fontId="48" fillId="0" borderId="38" xfId="1501" applyNumberFormat="1" applyFont="1" applyBorder="1" applyAlignment="1">
      <alignment horizontal="center" vertical="center" wrapText="1"/>
    </xf>
    <xf numFmtId="44" fontId="48" fillId="0" borderId="38" xfId="1501" applyNumberFormat="1" applyFont="1" applyBorder="1" applyAlignment="1">
      <alignment horizontal="center" vertical="center" wrapText="1"/>
    </xf>
    <xf numFmtId="10" fontId="48" fillId="0" borderId="38" xfId="1501" applyNumberFormat="1" applyFont="1" applyBorder="1" applyAlignment="1">
      <alignment horizontal="center" vertical="center" wrapText="1"/>
    </xf>
    <xf numFmtId="10" fontId="48" fillId="0" borderId="38" xfId="1549" applyNumberFormat="1" applyFont="1" applyFill="1" applyBorder="1" applyAlignment="1">
      <alignment horizontal="center" vertical="center" wrapText="1"/>
    </xf>
    <xf numFmtId="167" fontId="48" fillId="0" borderId="38" xfId="1549" applyNumberFormat="1" applyFont="1" applyFill="1" applyBorder="1" applyAlignment="1">
      <alignment horizontal="center" vertical="center" wrapText="1"/>
    </xf>
    <xf numFmtId="166" fontId="48" fillId="0" borderId="38" xfId="1549" applyNumberFormat="1" applyFont="1" applyFill="1" applyBorder="1" applyAlignment="1">
      <alignment horizontal="center" vertical="center" wrapText="1"/>
    </xf>
    <xf numFmtId="0" fontId="46" fillId="0" borderId="42" xfId="1501" applyFont="1" applyBorder="1"/>
    <xf numFmtId="0" fontId="46" fillId="0" borderId="43" xfId="1501" applyFont="1" applyBorder="1"/>
    <xf numFmtId="0" fontId="46" fillId="0" borderId="38" xfId="1501" applyFont="1" applyBorder="1"/>
    <xf numFmtId="49" fontId="49" fillId="0" borderId="30" xfId="1501" applyNumberFormat="1" applyFont="1" applyBorder="1" applyAlignment="1">
      <alignment horizontal="center" vertical="center" wrapText="1"/>
    </xf>
    <xf numFmtId="49" fontId="49" fillId="0" borderId="22" xfId="1501" applyNumberFormat="1" applyFont="1" applyBorder="1" applyAlignment="1">
      <alignment horizontal="center" vertical="center" wrapText="1"/>
    </xf>
    <xf numFmtId="4" fontId="49" fillId="0" borderId="22" xfId="1501" applyNumberFormat="1" applyFont="1" applyBorder="1" applyAlignment="1">
      <alignment horizontal="center" vertical="center" wrapText="1"/>
    </xf>
    <xf numFmtId="49" fontId="49" fillId="0" borderId="31" xfId="1501" applyNumberFormat="1" applyFont="1" applyBorder="1" applyAlignment="1">
      <alignment horizontal="center" vertical="center" wrapText="1"/>
    </xf>
    <xf numFmtId="9" fontId="3" fillId="0" borderId="0" xfId="1501" applyNumberFormat="1" applyFont="1"/>
    <xf numFmtId="166" fontId="3" fillId="0" borderId="0" xfId="1549" applyNumberFormat="1" applyFont="1"/>
    <xf numFmtId="43" fontId="66" fillId="0" borderId="0" xfId="1446" applyFont="1"/>
    <xf numFmtId="43" fontId="46" fillId="79" borderId="0" xfId="1501" applyNumberFormat="1" applyFont="1" applyFill="1"/>
    <xf numFmtId="0" fontId="46" fillId="46" borderId="0" xfId="1501" applyFont="1" applyFill="1" applyAlignment="1">
      <alignment horizontal="center" vertical="center"/>
    </xf>
    <xf numFmtId="4" fontId="46" fillId="0" borderId="23" xfId="0" applyNumberFormat="1" applyFont="1" applyBorder="1" applyAlignment="1">
      <alignment horizontal="center" vertical="center"/>
    </xf>
    <xf numFmtId="0" fontId="46" fillId="80" borderId="23" xfId="0" applyFont="1" applyFill="1" applyBorder="1" applyAlignment="1">
      <alignment horizontal="center"/>
    </xf>
    <xf numFmtId="0" fontId="46" fillId="80" borderId="23" xfId="0" applyFont="1" applyFill="1" applyBorder="1" applyAlignment="1">
      <alignment horizontal="left" vertical="center"/>
    </xf>
    <xf numFmtId="43" fontId="46" fillId="80" borderId="23" xfId="1446" applyFont="1" applyFill="1" applyBorder="1" applyAlignment="1">
      <alignment horizontal="center" vertical="center"/>
    </xf>
    <xf numFmtId="0" fontId="46" fillId="0" borderId="24" xfId="1501" applyFont="1" applyBorder="1" applyAlignment="1">
      <alignment vertical="center"/>
    </xf>
    <xf numFmtId="170" fontId="46" fillId="79" borderId="26" xfId="0" applyNumberFormat="1" applyFont="1" applyFill="1" applyBorder="1" applyAlignment="1">
      <alignment vertical="center"/>
    </xf>
    <xf numFmtId="0" fontId="46" fillId="0" borderId="30" xfId="1501" applyFont="1" applyBorder="1" applyAlignment="1">
      <alignment vertical="center"/>
    </xf>
    <xf numFmtId="170" fontId="46" fillId="79" borderId="31" xfId="0" applyNumberFormat="1" applyFont="1" applyFill="1" applyBorder="1" applyAlignment="1">
      <alignment vertical="center"/>
    </xf>
    <xf numFmtId="0" fontId="46" fillId="0" borderId="27" xfId="1501" applyFont="1" applyBorder="1" applyAlignment="1">
      <alignment vertical="center"/>
    </xf>
    <xf numFmtId="170" fontId="46" fillId="79" borderId="29" xfId="0" applyNumberFormat="1" applyFont="1" applyFill="1" applyBorder="1" applyAlignment="1">
      <alignment vertical="center"/>
    </xf>
    <xf numFmtId="0" fontId="65" fillId="0" borderId="24" xfId="1501" applyFont="1" applyBorder="1" applyAlignment="1">
      <alignment horizontal="center" vertical="center"/>
    </xf>
    <xf numFmtId="0" fontId="65" fillId="0" borderId="25" xfId="1501" applyFont="1" applyBorder="1" applyAlignment="1">
      <alignment horizontal="center" vertical="center"/>
    </xf>
    <xf numFmtId="0" fontId="65" fillId="0" borderId="26" xfId="1501" applyFont="1" applyBorder="1" applyAlignment="1">
      <alignment horizontal="center" vertical="center"/>
    </xf>
    <xf numFmtId="1" fontId="49" fillId="0" borderId="24" xfId="1501" applyNumberFormat="1" applyFont="1" applyBorder="1" applyAlignment="1">
      <alignment horizontal="center" vertical="center" wrapText="1"/>
    </xf>
    <xf numFmtId="1" fontId="49" fillId="0" borderId="27" xfId="1501" applyNumberFormat="1" applyFont="1" applyBorder="1" applyAlignment="1">
      <alignment horizontal="center" vertical="center" wrapText="1"/>
    </xf>
    <xf numFmtId="0" fontId="49" fillId="0" borderId="25" xfId="1501" applyFont="1" applyBorder="1" applyAlignment="1">
      <alignment horizontal="center" vertical="center" wrapText="1"/>
    </xf>
    <xf numFmtId="0" fontId="49" fillId="0" borderId="28" xfId="1501" applyFont="1" applyBorder="1" applyAlignment="1">
      <alignment horizontal="center" vertical="center" wrapText="1"/>
    </xf>
    <xf numFmtId="49" fontId="49" fillId="0" borderId="25" xfId="1501" applyNumberFormat="1" applyFont="1" applyBorder="1" applyAlignment="1">
      <alignment horizontal="center" vertical="center" wrapText="1"/>
    </xf>
    <xf numFmtId="49" fontId="49" fillId="0" borderId="28" xfId="1501" applyNumberFormat="1" applyFont="1" applyBorder="1" applyAlignment="1">
      <alignment horizontal="center" vertical="center" wrapText="1"/>
    </xf>
    <xf numFmtId="172" fontId="63" fillId="0" borderId="32" xfId="1501" applyNumberFormat="1" applyFont="1" applyBorder="1" applyAlignment="1">
      <alignment horizontal="center" vertical="center"/>
    </xf>
    <xf numFmtId="172" fontId="64" fillId="0" borderId="33" xfId="0" applyNumberFormat="1" applyFont="1" applyBorder="1" applyAlignment="1">
      <alignment horizontal="center" vertical="center"/>
    </xf>
    <xf numFmtId="49" fontId="49" fillId="0" borderId="26" xfId="1501" applyNumberFormat="1" applyFont="1" applyBorder="1" applyAlignment="1">
      <alignment horizontal="center" vertical="center" wrapText="1"/>
    </xf>
    <xf numFmtId="49" fontId="49" fillId="0" borderId="29" xfId="1501" applyNumberFormat="1" applyFont="1" applyBorder="1" applyAlignment="1">
      <alignment horizontal="center" vertical="center" wrapText="1"/>
    </xf>
    <xf numFmtId="4" fontId="49" fillId="0" borderId="25" xfId="1501" applyNumberFormat="1" applyFont="1" applyBorder="1" applyAlignment="1">
      <alignment horizontal="center" vertical="center" wrapText="1"/>
    </xf>
    <xf numFmtId="4" fontId="49" fillId="0" borderId="28" xfId="1501" applyNumberFormat="1" applyFont="1" applyBorder="1" applyAlignment="1">
      <alignment horizontal="center" vertical="center" wrapText="1"/>
    </xf>
    <xf numFmtId="44" fontId="48" fillId="0" borderId="38" xfId="1501" applyNumberFormat="1" applyFont="1" applyBorder="1" applyAlignment="1">
      <alignment horizontal="center" vertical="center" wrapText="1"/>
    </xf>
    <xf numFmtId="43" fontId="56" fillId="0" borderId="0" xfId="1446" applyFont="1" applyAlignment="1">
      <alignment vertical="center"/>
    </xf>
    <xf numFmtId="0" fontId="48" fillId="0" borderId="37" xfId="1501" applyFont="1" applyBorder="1" applyAlignment="1">
      <alignment horizontal="center" vertical="center"/>
    </xf>
    <xf numFmtId="0" fontId="48" fillId="0" borderId="38" xfId="1501" applyFont="1" applyBorder="1" applyAlignment="1">
      <alignment horizontal="center"/>
    </xf>
    <xf numFmtId="0" fontId="53" fillId="0" borderId="38" xfId="1501" applyFont="1" applyBorder="1" applyAlignment="1">
      <alignment horizontal="center"/>
    </xf>
    <xf numFmtId="49" fontId="48" fillId="0" borderId="38" xfId="1501" applyNumberFormat="1" applyFont="1" applyBorder="1" applyAlignment="1">
      <alignment horizontal="center" vertical="center" wrapText="1"/>
    </xf>
    <xf numFmtId="44" fontId="53" fillId="0" borderId="38" xfId="1501" applyNumberFormat="1" applyFont="1" applyBorder="1" applyAlignment="1">
      <alignment horizontal="center" vertical="center" wrapText="1"/>
    </xf>
    <xf numFmtId="1" fontId="48" fillId="0" borderId="38" xfId="1501" applyNumberFormat="1" applyFont="1" applyBorder="1" applyAlignment="1">
      <alignment horizontal="center" vertical="center" wrapText="1"/>
    </xf>
    <xf numFmtId="0" fontId="48" fillId="0" borderId="38" xfId="1501" applyFont="1" applyBorder="1" applyAlignment="1">
      <alignment horizontal="center" vertical="center" wrapText="1"/>
    </xf>
    <xf numFmtId="49" fontId="48" fillId="0" borderId="28" xfId="1501" applyNumberFormat="1" applyFont="1" applyBorder="1" applyAlignment="1">
      <alignment horizontal="center" vertical="center" wrapText="1"/>
    </xf>
    <xf numFmtId="4" fontId="48" fillId="0" borderId="28" xfId="1501" applyNumberFormat="1" applyFont="1" applyBorder="1" applyAlignment="1">
      <alignment horizontal="center" vertical="center" wrapText="1"/>
    </xf>
    <xf numFmtId="1" fontId="48" fillId="0" borderId="27" xfId="1501" applyNumberFormat="1" applyFont="1" applyBorder="1" applyAlignment="1">
      <alignment horizontal="center" vertical="center" wrapText="1"/>
    </xf>
    <xf numFmtId="0" fontId="48" fillId="0" borderId="28" xfId="1501" applyFont="1" applyBorder="1" applyAlignment="1">
      <alignment horizontal="center" vertical="center" wrapText="1"/>
    </xf>
    <xf numFmtId="44" fontId="48" fillId="0" borderId="22" xfId="1501" applyNumberFormat="1" applyFont="1" applyBorder="1" applyAlignment="1">
      <alignment horizontal="center" vertical="center" wrapText="1"/>
    </xf>
    <xf numFmtId="44" fontId="48" fillId="0" borderId="28" xfId="1501" applyNumberFormat="1" applyFont="1" applyBorder="1" applyAlignment="1">
      <alignment horizontal="center" vertical="center" wrapText="1"/>
    </xf>
    <xf numFmtId="44" fontId="48" fillId="0" borderId="25" xfId="1501" applyNumberFormat="1" applyFont="1" applyBorder="1" applyAlignment="1">
      <alignment horizontal="center" vertical="center" wrapText="1"/>
    </xf>
    <xf numFmtId="0" fontId="48" fillId="0" borderId="25" xfId="1501" applyFont="1" applyBorder="1" applyAlignment="1">
      <alignment horizontal="center"/>
    </xf>
    <xf numFmtId="1" fontId="48" fillId="0" borderId="30" xfId="1501" applyNumberFormat="1" applyFont="1" applyBorder="1" applyAlignment="1">
      <alignment horizontal="center" vertical="center" wrapText="1"/>
    </xf>
    <xf numFmtId="0" fontId="48" fillId="0" borderId="22" xfId="1501" applyFont="1" applyBorder="1" applyAlignment="1">
      <alignment horizontal="center" vertical="center" wrapText="1"/>
    </xf>
    <xf numFmtId="49" fontId="48" fillId="0" borderId="22" xfId="1501" applyNumberFormat="1" applyFont="1" applyBorder="1" applyAlignment="1">
      <alignment horizontal="center" vertical="center" wrapText="1"/>
    </xf>
    <xf numFmtId="0" fontId="52" fillId="0" borderId="45" xfId="1501" applyFont="1" applyBorder="1" applyAlignment="1">
      <alignment horizontal="center"/>
    </xf>
    <xf numFmtId="0" fontId="52" fillId="0" borderId="46" xfId="1501" applyFont="1" applyBorder="1" applyAlignment="1">
      <alignment horizontal="center"/>
    </xf>
    <xf numFmtId="0" fontId="52" fillId="0" borderId="47" xfId="1501" applyFont="1" applyBorder="1" applyAlignment="1">
      <alignment horizontal="center"/>
    </xf>
    <xf numFmtId="1" fontId="48" fillId="0" borderId="48" xfId="1501" applyNumberFormat="1" applyFont="1" applyBorder="1" applyAlignment="1">
      <alignment horizontal="center" vertical="center" wrapText="1"/>
    </xf>
    <xf numFmtId="0" fontId="48" fillId="0" borderId="49" xfId="1501" applyFont="1" applyBorder="1" applyAlignment="1">
      <alignment horizontal="center" vertical="center" wrapText="1"/>
    </xf>
    <xf numFmtId="49" fontId="48" fillId="0" borderId="49" xfId="1501" applyNumberFormat="1" applyFont="1" applyBorder="1" applyAlignment="1">
      <alignment horizontal="center" vertical="center" wrapText="1"/>
    </xf>
    <xf numFmtId="4" fontId="48" fillId="0" borderId="49" xfId="1501" applyNumberFormat="1" applyFont="1" applyBorder="1" applyAlignment="1">
      <alignment horizontal="center" vertical="center" wrapText="1"/>
    </xf>
    <xf numFmtId="49" fontId="48" fillId="0" borderId="50" xfId="1501" applyNumberFormat="1" applyFont="1" applyBorder="1" applyAlignment="1">
      <alignment horizontal="center" vertical="center" wrapText="1"/>
    </xf>
    <xf numFmtId="1" fontId="48" fillId="0" borderId="51" xfId="1501" applyNumberFormat="1" applyFont="1" applyBorder="1" applyAlignment="1">
      <alignment horizontal="center" vertical="center" wrapText="1"/>
    </xf>
    <xf numFmtId="49" fontId="48" fillId="0" borderId="52" xfId="1501" applyNumberFormat="1" applyFont="1" applyBorder="1" applyAlignment="1">
      <alignment horizontal="center" vertical="center" wrapText="1"/>
    </xf>
    <xf numFmtId="0" fontId="46" fillId="0" borderId="53" xfId="1501" applyFont="1" applyBorder="1" applyAlignment="1">
      <alignment horizontal="center" vertical="center"/>
    </xf>
    <xf numFmtId="171" fontId="46" fillId="0" borderId="54" xfId="1501" applyNumberFormat="1" applyFont="1" applyBorder="1"/>
    <xf numFmtId="0" fontId="46" fillId="0" borderId="55" xfId="1501" applyFont="1" applyBorder="1" applyAlignment="1">
      <alignment horizontal="center" vertical="center"/>
    </xf>
    <xf numFmtId="0" fontId="46" fillId="0" borderId="56" xfId="1501" applyFont="1" applyBorder="1" applyAlignment="1">
      <alignment horizontal="center" vertical="center"/>
    </xf>
    <xf numFmtId="0" fontId="46" fillId="0" borderId="57" xfId="1501" applyFont="1" applyBorder="1" applyAlignment="1">
      <alignment vertical="center"/>
    </xf>
    <xf numFmtId="43" fontId="51" fillId="0" borderId="57" xfId="1446" applyFont="1" applyBorder="1" applyAlignment="1">
      <alignment horizontal="center" vertical="center"/>
    </xf>
    <xf numFmtId="0" fontId="47" fillId="0" borderId="57" xfId="1501" applyFont="1" applyBorder="1" applyAlignment="1">
      <alignment horizontal="center" vertical="center"/>
    </xf>
    <xf numFmtId="164" fontId="46" fillId="0" borderId="57" xfId="1450" applyFont="1" applyBorder="1" applyAlignment="1">
      <alignment vertical="center"/>
    </xf>
    <xf numFmtId="43" fontId="46" fillId="0" borderId="57" xfId="1446" applyFont="1" applyBorder="1"/>
    <xf numFmtId="43" fontId="46" fillId="0" borderId="57" xfId="1501" applyNumberFormat="1" applyFont="1" applyBorder="1"/>
    <xf numFmtId="4" fontId="46" fillId="0" borderId="57" xfId="1501" applyNumberFormat="1" applyFont="1" applyBorder="1"/>
    <xf numFmtId="171" fontId="46" fillId="0" borderId="58" xfId="1501" applyNumberFormat="1" applyFont="1" applyBorder="1"/>
    <xf numFmtId="171" fontId="3" fillId="0" borderId="44" xfId="1501" applyNumberFormat="1" applyFont="1" applyBorder="1"/>
    <xf numFmtId="0" fontId="52" fillId="0" borderId="0" xfId="1501" applyFont="1" applyBorder="1" applyAlignment="1">
      <alignment vertical="center"/>
    </xf>
    <xf numFmtId="43" fontId="27" fillId="0" borderId="0" xfId="1501" applyNumberFormat="1" applyFont="1" applyBorder="1"/>
    <xf numFmtId="0" fontId="52" fillId="0" borderId="59" xfId="1501" applyFont="1" applyBorder="1" applyAlignment="1">
      <alignment horizontal="center" vertical="center"/>
    </xf>
    <xf numFmtId="0" fontId="52" fillId="0" borderId="60" xfId="1501" applyFont="1" applyBorder="1" applyAlignment="1">
      <alignment horizontal="center" vertical="center"/>
    </xf>
    <xf numFmtId="0" fontId="52" fillId="0" borderId="61" xfId="1501" applyFont="1" applyBorder="1" applyAlignment="1">
      <alignment horizontal="center" vertical="center"/>
    </xf>
  </cellXfs>
  <cellStyles count="2954">
    <cellStyle name="20% - Énfasis1" xfId="2059" builtinId="30" customBuiltin="1"/>
    <cellStyle name="20% - Énfasis1 1" xfId="1" xr:uid="{00000000-0005-0000-0000-000001000000}"/>
    <cellStyle name="20% - Énfasis1 1 2" xfId="2082" xr:uid="{00000000-0005-0000-0000-000002000000}"/>
    <cellStyle name="20% - Énfasis1 10" xfId="2" xr:uid="{00000000-0005-0000-0000-000003000000}"/>
    <cellStyle name="20% - Énfasis1 10 2" xfId="2083" xr:uid="{00000000-0005-0000-0000-000004000000}"/>
    <cellStyle name="20% - Énfasis1 11" xfId="3" xr:uid="{00000000-0005-0000-0000-000005000000}"/>
    <cellStyle name="20% - Énfasis1 11 2" xfId="2084" xr:uid="{00000000-0005-0000-0000-000006000000}"/>
    <cellStyle name="20% - Énfasis1 12" xfId="4" xr:uid="{00000000-0005-0000-0000-000007000000}"/>
    <cellStyle name="20% - Énfasis1 12 2" xfId="2085" xr:uid="{00000000-0005-0000-0000-000008000000}"/>
    <cellStyle name="20% - Énfasis1 13" xfId="5" xr:uid="{00000000-0005-0000-0000-000009000000}"/>
    <cellStyle name="20% - Énfasis1 13 2" xfId="2086" xr:uid="{00000000-0005-0000-0000-00000A000000}"/>
    <cellStyle name="20% - Énfasis1 14" xfId="6" xr:uid="{00000000-0005-0000-0000-00000B000000}"/>
    <cellStyle name="20% - Énfasis1 14 2" xfId="2087" xr:uid="{00000000-0005-0000-0000-00000C000000}"/>
    <cellStyle name="20% - Énfasis1 15" xfId="7" xr:uid="{00000000-0005-0000-0000-00000D000000}"/>
    <cellStyle name="20% - Énfasis1 15 2" xfId="2088" xr:uid="{00000000-0005-0000-0000-00000E000000}"/>
    <cellStyle name="20% - Énfasis1 16" xfId="8" xr:uid="{00000000-0005-0000-0000-00000F000000}"/>
    <cellStyle name="20% - Énfasis1 16 2" xfId="2089" xr:uid="{00000000-0005-0000-0000-000010000000}"/>
    <cellStyle name="20% - Énfasis1 17" xfId="9" xr:uid="{00000000-0005-0000-0000-000011000000}"/>
    <cellStyle name="20% - Énfasis1 17 2" xfId="2090" xr:uid="{00000000-0005-0000-0000-000012000000}"/>
    <cellStyle name="20% - Énfasis1 18" xfId="10" xr:uid="{00000000-0005-0000-0000-000013000000}"/>
    <cellStyle name="20% - Énfasis1 18 2" xfId="2091" xr:uid="{00000000-0005-0000-0000-000014000000}"/>
    <cellStyle name="20% - Énfasis1 19" xfId="11" xr:uid="{00000000-0005-0000-0000-000015000000}"/>
    <cellStyle name="20% - Énfasis1 19 2" xfId="2092" xr:uid="{00000000-0005-0000-0000-000016000000}"/>
    <cellStyle name="20% - Énfasis1 2" xfId="12" xr:uid="{00000000-0005-0000-0000-000017000000}"/>
    <cellStyle name="20% - Énfasis1 2 2" xfId="2093" xr:uid="{00000000-0005-0000-0000-000018000000}"/>
    <cellStyle name="20% - Énfasis1 20" xfId="13" xr:uid="{00000000-0005-0000-0000-000019000000}"/>
    <cellStyle name="20% - Énfasis1 20 2" xfId="2094" xr:uid="{00000000-0005-0000-0000-00001A000000}"/>
    <cellStyle name="20% - Énfasis1 21" xfId="14" xr:uid="{00000000-0005-0000-0000-00001B000000}"/>
    <cellStyle name="20% - Énfasis1 21 2" xfId="2095" xr:uid="{00000000-0005-0000-0000-00001C000000}"/>
    <cellStyle name="20% - Énfasis1 22" xfId="15" xr:uid="{00000000-0005-0000-0000-00001D000000}"/>
    <cellStyle name="20% - Énfasis1 22 2" xfId="2096" xr:uid="{00000000-0005-0000-0000-00001E000000}"/>
    <cellStyle name="20% - Énfasis1 23" xfId="16" xr:uid="{00000000-0005-0000-0000-00001F000000}"/>
    <cellStyle name="20% - Énfasis1 23 2" xfId="2097" xr:uid="{00000000-0005-0000-0000-000020000000}"/>
    <cellStyle name="20% - Énfasis1 24" xfId="17" xr:uid="{00000000-0005-0000-0000-000021000000}"/>
    <cellStyle name="20% - Énfasis1 24 2" xfId="2098" xr:uid="{00000000-0005-0000-0000-000022000000}"/>
    <cellStyle name="20% - Énfasis1 25" xfId="18" xr:uid="{00000000-0005-0000-0000-000023000000}"/>
    <cellStyle name="20% - Énfasis1 25 2" xfId="2099" xr:uid="{00000000-0005-0000-0000-000024000000}"/>
    <cellStyle name="20% - Énfasis1 26" xfId="19" xr:uid="{00000000-0005-0000-0000-000025000000}"/>
    <cellStyle name="20% - Énfasis1 26 2" xfId="2100" xr:uid="{00000000-0005-0000-0000-000026000000}"/>
    <cellStyle name="20% - Énfasis1 27" xfId="20" xr:uid="{00000000-0005-0000-0000-000027000000}"/>
    <cellStyle name="20% - Énfasis1 27 2" xfId="2101" xr:uid="{00000000-0005-0000-0000-000028000000}"/>
    <cellStyle name="20% - Énfasis1 28" xfId="21" xr:uid="{00000000-0005-0000-0000-000029000000}"/>
    <cellStyle name="20% - Énfasis1 28 2" xfId="2102" xr:uid="{00000000-0005-0000-0000-00002A000000}"/>
    <cellStyle name="20% - Énfasis1 29" xfId="22" xr:uid="{00000000-0005-0000-0000-00002B000000}"/>
    <cellStyle name="20% - Énfasis1 29 2" xfId="2103" xr:uid="{00000000-0005-0000-0000-00002C000000}"/>
    <cellStyle name="20% - Énfasis1 3" xfId="23" xr:uid="{00000000-0005-0000-0000-00002D000000}"/>
    <cellStyle name="20% - Énfasis1 3 2" xfId="2104" xr:uid="{00000000-0005-0000-0000-00002E000000}"/>
    <cellStyle name="20% - Énfasis1 30" xfId="24" xr:uid="{00000000-0005-0000-0000-00002F000000}"/>
    <cellStyle name="20% - Énfasis1 30 2" xfId="2105" xr:uid="{00000000-0005-0000-0000-000030000000}"/>
    <cellStyle name="20% - Énfasis1 31" xfId="25" xr:uid="{00000000-0005-0000-0000-000031000000}"/>
    <cellStyle name="20% - Énfasis1 31 2" xfId="2106" xr:uid="{00000000-0005-0000-0000-000032000000}"/>
    <cellStyle name="20% - Énfasis1 32" xfId="26" xr:uid="{00000000-0005-0000-0000-000033000000}"/>
    <cellStyle name="20% - Énfasis1 32 2" xfId="2107" xr:uid="{00000000-0005-0000-0000-000034000000}"/>
    <cellStyle name="20% - Énfasis1 33" xfId="27" xr:uid="{00000000-0005-0000-0000-000035000000}"/>
    <cellStyle name="20% - Énfasis1 33 2" xfId="2108" xr:uid="{00000000-0005-0000-0000-000036000000}"/>
    <cellStyle name="20% - Énfasis1 34" xfId="28" xr:uid="{00000000-0005-0000-0000-000037000000}"/>
    <cellStyle name="20% - Énfasis1 34 2" xfId="2109" xr:uid="{00000000-0005-0000-0000-000038000000}"/>
    <cellStyle name="20% - Énfasis1 35" xfId="29" xr:uid="{00000000-0005-0000-0000-000039000000}"/>
    <cellStyle name="20% - Énfasis1 35 2" xfId="2110" xr:uid="{00000000-0005-0000-0000-00003A000000}"/>
    <cellStyle name="20% - Énfasis1 36" xfId="30" xr:uid="{00000000-0005-0000-0000-00003B000000}"/>
    <cellStyle name="20% - Énfasis1 36 2" xfId="2111" xr:uid="{00000000-0005-0000-0000-00003C000000}"/>
    <cellStyle name="20% - Énfasis1 37" xfId="31" xr:uid="{00000000-0005-0000-0000-00003D000000}"/>
    <cellStyle name="20% - Énfasis1 37 2" xfId="2112" xr:uid="{00000000-0005-0000-0000-00003E000000}"/>
    <cellStyle name="20% - Énfasis1 38" xfId="32" xr:uid="{00000000-0005-0000-0000-00003F000000}"/>
    <cellStyle name="20% - Énfasis1 38 2" xfId="2113" xr:uid="{00000000-0005-0000-0000-000040000000}"/>
    <cellStyle name="20% - Énfasis1 39" xfId="33" xr:uid="{00000000-0005-0000-0000-000041000000}"/>
    <cellStyle name="20% - Énfasis1 39 2" xfId="2114" xr:uid="{00000000-0005-0000-0000-000042000000}"/>
    <cellStyle name="20% - Énfasis1 4" xfId="34" xr:uid="{00000000-0005-0000-0000-000043000000}"/>
    <cellStyle name="20% - Énfasis1 4 2" xfId="2115" xr:uid="{00000000-0005-0000-0000-000044000000}"/>
    <cellStyle name="20% - Énfasis1 40" xfId="35" xr:uid="{00000000-0005-0000-0000-000045000000}"/>
    <cellStyle name="20% - Énfasis1 40 2" xfId="2116" xr:uid="{00000000-0005-0000-0000-000046000000}"/>
    <cellStyle name="20% - Énfasis1 41" xfId="36" xr:uid="{00000000-0005-0000-0000-000047000000}"/>
    <cellStyle name="20% - Énfasis1 41 2" xfId="2117" xr:uid="{00000000-0005-0000-0000-000048000000}"/>
    <cellStyle name="20% - Énfasis1 42" xfId="37" xr:uid="{00000000-0005-0000-0000-000049000000}"/>
    <cellStyle name="20% - Énfasis1 42 2" xfId="2118" xr:uid="{00000000-0005-0000-0000-00004A000000}"/>
    <cellStyle name="20% - Énfasis1 43" xfId="38" xr:uid="{00000000-0005-0000-0000-00004B000000}"/>
    <cellStyle name="20% - Énfasis1 43 2" xfId="2119" xr:uid="{00000000-0005-0000-0000-00004C000000}"/>
    <cellStyle name="20% - Énfasis1 44" xfId="39" xr:uid="{00000000-0005-0000-0000-00004D000000}"/>
    <cellStyle name="20% - Énfasis1 44 2" xfId="2120" xr:uid="{00000000-0005-0000-0000-00004E000000}"/>
    <cellStyle name="20% - Énfasis1 45" xfId="40" xr:uid="{00000000-0005-0000-0000-00004F000000}"/>
    <cellStyle name="20% - Énfasis1 45 2" xfId="2121" xr:uid="{00000000-0005-0000-0000-000050000000}"/>
    <cellStyle name="20% - Énfasis1 46" xfId="41" xr:uid="{00000000-0005-0000-0000-000051000000}"/>
    <cellStyle name="20% - Énfasis1 46 2" xfId="2122" xr:uid="{00000000-0005-0000-0000-000052000000}"/>
    <cellStyle name="20% - Énfasis1 47" xfId="42" xr:uid="{00000000-0005-0000-0000-000053000000}"/>
    <cellStyle name="20% - Énfasis1 47 2" xfId="2123" xr:uid="{00000000-0005-0000-0000-000054000000}"/>
    <cellStyle name="20% - Énfasis1 5" xfId="43" xr:uid="{00000000-0005-0000-0000-000055000000}"/>
    <cellStyle name="20% - Énfasis1 5 2" xfId="2124" xr:uid="{00000000-0005-0000-0000-000056000000}"/>
    <cellStyle name="20% - Énfasis1 6" xfId="44" xr:uid="{00000000-0005-0000-0000-000057000000}"/>
    <cellStyle name="20% - Énfasis1 6 2" xfId="2125" xr:uid="{00000000-0005-0000-0000-000058000000}"/>
    <cellStyle name="20% - Énfasis1 7" xfId="45" xr:uid="{00000000-0005-0000-0000-000059000000}"/>
    <cellStyle name="20% - Énfasis1 7 2" xfId="2126" xr:uid="{00000000-0005-0000-0000-00005A000000}"/>
    <cellStyle name="20% - Énfasis1 8" xfId="46" xr:uid="{00000000-0005-0000-0000-00005B000000}"/>
    <cellStyle name="20% - Énfasis1 8 2" xfId="2127" xr:uid="{00000000-0005-0000-0000-00005C000000}"/>
    <cellStyle name="20% - Énfasis1 9" xfId="47" xr:uid="{00000000-0005-0000-0000-00005D000000}"/>
    <cellStyle name="20% - Énfasis1 9 2" xfId="2128" xr:uid="{00000000-0005-0000-0000-00005E000000}"/>
    <cellStyle name="20% - Énfasis2" xfId="2063" builtinId="34" customBuiltin="1"/>
    <cellStyle name="20% - Énfasis2 1" xfId="48" xr:uid="{00000000-0005-0000-0000-000060000000}"/>
    <cellStyle name="20% - Énfasis2 1 2" xfId="2129" xr:uid="{00000000-0005-0000-0000-000061000000}"/>
    <cellStyle name="20% - Énfasis2 10" xfId="49" xr:uid="{00000000-0005-0000-0000-000062000000}"/>
    <cellStyle name="20% - Énfasis2 10 2" xfId="2130" xr:uid="{00000000-0005-0000-0000-000063000000}"/>
    <cellStyle name="20% - Énfasis2 11" xfId="50" xr:uid="{00000000-0005-0000-0000-000064000000}"/>
    <cellStyle name="20% - Énfasis2 11 2" xfId="2131" xr:uid="{00000000-0005-0000-0000-000065000000}"/>
    <cellStyle name="20% - Énfasis2 12" xfId="51" xr:uid="{00000000-0005-0000-0000-000066000000}"/>
    <cellStyle name="20% - Énfasis2 12 2" xfId="2132" xr:uid="{00000000-0005-0000-0000-000067000000}"/>
    <cellStyle name="20% - Énfasis2 13" xfId="52" xr:uid="{00000000-0005-0000-0000-000068000000}"/>
    <cellStyle name="20% - Énfasis2 13 2" xfId="2133" xr:uid="{00000000-0005-0000-0000-000069000000}"/>
    <cellStyle name="20% - Énfasis2 14" xfId="53" xr:uid="{00000000-0005-0000-0000-00006A000000}"/>
    <cellStyle name="20% - Énfasis2 14 2" xfId="2134" xr:uid="{00000000-0005-0000-0000-00006B000000}"/>
    <cellStyle name="20% - Énfasis2 15" xfId="54" xr:uid="{00000000-0005-0000-0000-00006C000000}"/>
    <cellStyle name="20% - Énfasis2 15 2" xfId="2135" xr:uid="{00000000-0005-0000-0000-00006D000000}"/>
    <cellStyle name="20% - Énfasis2 16" xfId="55" xr:uid="{00000000-0005-0000-0000-00006E000000}"/>
    <cellStyle name="20% - Énfasis2 16 2" xfId="2136" xr:uid="{00000000-0005-0000-0000-00006F000000}"/>
    <cellStyle name="20% - Énfasis2 17" xfId="56" xr:uid="{00000000-0005-0000-0000-000070000000}"/>
    <cellStyle name="20% - Énfasis2 17 2" xfId="2137" xr:uid="{00000000-0005-0000-0000-000071000000}"/>
    <cellStyle name="20% - Énfasis2 18" xfId="57" xr:uid="{00000000-0005-0000-0000-000072000000}"/>
    <cellStyle name="20% - Énfasis2 18 2" xfId="2138" xr:uid="{00000000-0005-0000-0000-000073000000}"/>
    <cellStyle name="20% - Énfasis2 19" xfId="58" xr:uid="{00000000-0005-0000-0000-000074000000}"/>
    <cellStyle name="20% - Énfasis2 19 2" xfId="2139" xr:uid="{00000000-0005-0000-0000-000075000000}"/>
    <cellStyle name="20% - Énfasis2 2" xfId="59" xr:uid="{00000000-0005-0000-0000-000076000000}"/>
    <cellStyle name="20% - Énfasis2 2 2" xfId="2140" xr:uid="{00000000-0005-0000-0000-000077000000}"/>
    <cellStyle name="20% - Énfasis2 20" xfId="60" xr:uid="{00000000-0005-0000-0000-000078000000}"/>
    <cellStyle name="20% - Énfasis2 20 2" xfId="2141" xr:uid="{00000000-0005-0000-0000-000079000000}"/>
    <cellStyle name="20% - Énfasis2 21" xfId="61" xr:uid="{00000000-0005-0000-0000-00007A000000}"/>
    <cellStyle name="20% - Énfasis2 21 2" xfId="2142" xr:uid="{00000000-0005-0000-0000-00007B000000}"/>
    <cellStyle name="20% - Énfasis2 22" xfId="62" xr:uid="{00000000-0005-0000-0000-00007C000000}"/>
    <cellStyle name="20% - Énfasis2 22 2" xfId="2143" xr:uid="{00000000-0005-0000-0000-00007D000000}"/>
    <cellStyle name="20% - Énfasis2 23" xfId="63" xr:uid="{00000000-0005-0000-0000-00007E000000}"/>
    <cellStyle name="20% - Énfasis2 23 2" xfId="2144" xr:uid="{00000000-0005-0000-0000-00007F000000}"/>
    <cellStyle name="20% - Énfasis2 24" xfId="64" xr:uid="{00000000-0005-0000-0000-000080000000}"/>
    <cellStyle name="20% - Énfasis2 24 2" xfId="2145" xr:uid="{00000000-0005-0000-0000-000081000000}"/>
    <cellStyle name="20% - Énfasis2 25" xfId="65" xr:uid="{00000000-0005-0000-0000-000082000000}"/>
    <cellStyle name="20% - Énfasis2 25 2" xfId="2146" xr:uid="{00000000-0005-0000-0000-000083000000}"/>
    <cellStyle name="20% - Énfasis2 26" xfId="66" xr:uid="{00000000-0005-0000-0000-000084000000}"/>
    <cellStyle name="20% - Énfasis2 26 2" xfId="2147" xr:uid="{00000000-0005-0000-0000-000085000000}"/>
    <cellStyle name="20% - Énfasis2 27" xfId="67" xr:uid="{00000000-0005-0000-0000-000086000000}"/>
    <cellStyle name="20% - Énfasis2 27 2" xfId="2148" xr:uid="{00000000-0005-0000-0000-000087000000}"/>
    <cellStyle name="20% - Énfasis2 28" xfId="68" xr:uid="{00000000-0005-0000-0000-000088000000}"/>
    <cellStyle name="20% - Énfasis2 28 2" xfId="2149" xr:uid="{00000000-0005-0000-0000-000089000000}"/>
    <cellStyle name="20% - Énfasis2 29" xfId="69" xr:uid="{00000000-0005-0000-0000-00008A000000}"/>
    <cellStyle name="20% - Énfasis2 29 2" xfId="2150" xr:uid="{00000000-0005-0000-0000-00008B000000}"/>
    <cellStyle name="20% - Énfasis2 3" xfId="70" xr:uid="{00000000-0005-0000-0000-00008C000000}"/>
    <cellStyle name="20% - Énfasis2 3 2" xfId="2151" xr:uid="{00000000-0005-0000-0000-00008D000000}"/>
    <cellStyle name="20% - Énfasis2 30" xfId="71" xr:uid="{00000000-0005-0000-0000-00008E000000}"/>
    <cellStyle name="20% - Énfasis2 30 2" xfId="2152" xr:uid="{00000000-0005-0000-0000-00008F000000}"/>
    <cellStyle name="20% - Énfasis2 31" xfId="72" xr:uid="{00000000-0005-0000-0000-000090000000}"/>
    <cellStyle name="20% - Énfasis2 31 2" xfId="2153" xr:uid="{00000000-0005-0000-0000-000091000000}"/>
    <cellStyle name="20% - Énfasis2 32" xfId="73" xr:uid="{00000000-0005-0000-0000-000092000000}"/>
    <cellStyle name="20% - Énfasis2 32 2" xfId="2154" xr:uid="{00000000-0005-0000-0000-000093000000}"/>
    <cellStyle name="20% - Énfasis2 33" xfId="74" xr:uid="{00000000-0005-0000-0000-000094000000}"/>
    <cellStyle name="20% - Énfasis2 33 2" xfId="2155" xr:uid="{00000000-0005-0000-0000-000095000000}"/>
    <cellStyle name="20% - Énfasis2 34" xfId="75" xr:uid="{00000000-0005-0000-0000-000096000000}"/>
    <cellStyle name="20% - Énfasis2 34 2" xfId="2156" xr:uid="{00000000-0005-0000-0000-000097000000}"/>
    <cellStyle name="20% - Énfasis2 35" xfId="76" xr:uid="{00000000-0005-0000-0000-000098000000}"/>
    <cellStyle name="20% - Énfasis2 35 2" xfId="2157" xr:uid="{00000000-0005-0000-0000-000099000000}"/>
    <cellStyle name="20% - Énfasis2 36" xfId="77" xr:uid="{00000000-0005-0000-0000-00009A000000}"/>
    <cellStyle name="20% - Énfasis2 36 2" xfId="2158" xr:uid="{00000000-0005-0000-0000-00009B000000}"/>
    <cellStyle name="20% - Énfasis2 37" xfId="78" xr:uid="{00000000-0005-0000-0000-00009C000000}"/>
    <cellStyle name="20% - Énfasis2 37 2" xfId="2159" xr:uid="{00000000-0005-0000-0000-00009D000000}"/>
    <cellStyle name="20% - Énfasis2 38" xfId="79" xr:uid="{00000000-0005-0000-0000-00009E000000}"/>
    <cellStyle name="20% - Énfasis2 38 2" xfId="2160" xr:uid="{00000000-0005-0000-0000-00009F000000}"/>
    <cellStyle name="20% - Énfasis2 39" xfId="80" xr:uid="{00000000-0005-0000-0000-0000A0000000}"/>
    <cellStyle name="20% - Énfasis2 39 2" xfId="2161" xr:uid="{00000000-0005-0000-0000-0000A1000000}"/>
    <cellStyle name="20% - Énfasis2 4" xfId="81" xr:uid="{00000000-0005-0000-0000-0000A2000000}"/>
    <cellStyle name="20% - Énfasis2 4 2" xfId="2162" xr:uid="{00000000-0005-0000-0000-0000A3000000}"/>
    <cellStyle name="20% - Énfasis2 40" xfId="82" xr:uid="{00000000-0005-0000-0000-0000A4000000}"/>
    <cellStyle name="20% - Énfasis2 40 2" xfId="2163" xr:uid="{00000000-0005-0000-0000-0000A5000000}"/>
    <cellStyle name="20% - Énfasis2 41" xfId="83" xr:uid="{00000000-0005-0000-0000-0000A6000000}"/>
    <cellStyle name="20% - Énfasis2 41 2" xfId="2164" xr:uid="{00000000-0005-0000-0000-0000A7000000}"/>
    <cellStyle name="20% - Énfasis2 42" xfId="84" xr:uid="{00000000-0005-0000-0000-0000A8000000}"/>
    <cellStyle name="20% - Énfasis2 42 2" xfId="2165" xr:uid="{00000000-0005-0000-0000-0000A9000000}"/>
    <cellStyle name="20% - Énfasis2 43" xfId="85" xr:uid="{00000000-0005-0000-0000-0000AA000000}"/>
    <cellStyle name="20% - Énfasis2 43 2" xfId="2166" xr:uid="{00000000-0005-0000-0000-0000AB000000}"/>
    <cellStyle name="20% - Énfasis2 44" xfId="86" xr:uid="{00000000-0005-0000-0000-0000AC000000}"/>
    <cellStyle name="20% - Énfasis2 44 2" xfId="2167" xr:uid="{00000000-0005-0000-0000-0000AD000000}"/>
    <cellStyle name="20% - Énfasis2 45" xfId="87" xr:uid="{00000000-0005-0000-0000-0000AE000000}"/>
    <cellStyle name="20% - Énfasis2 45 2" xfId="2168" xr:uid="{00000000-0005-0000-0000-0000AF000000}"/>
    <cellStyle name="20% - Énfasis2 46" xfId="88" xr:uid="{00000000-0005-0000-0000-0000B0000000}"/>
    <cellStyle name="20% - Énfasis2 46 2" xfId="2169" xr:uid="{00000000-0005-0000-0000-0000B1000000}"/>
    <cellStyle name="20% - Énfasis2 47" xfId="89" xr:uid="{00000000-0005-0000-0000-0000B2000000}"/>
    <cellStyle name="20% - Énfasis2 47 2" xfId="2170" xr:uid="{00000000-0005-0000-0000-0000B3000000}"/>
    <cellStyle name="20% - Énfasis2 5" xfId="90" xr:uid="{00000000-0005-0000-0000-0000B4000000}"/>
    <cellStyle name="20% - Énfasis2 5 2" xfId="2171" xr:uid="{00000000-0005-0000-0000-0000B5000000}"/>
    <cellStyle name="20% - Énfasis2 6" xfId="91" xr:uid="{00000000-0005-0000-0000-0000B6000000}"/>
    <cellStyle name="20% - Énfasis2 6 2" xfId="2172" xr:uid="{00000000-0005-0000-0000-0000B7000000}"/>
    <cellStyle name="20% - Énfasis2 7" xfId="92" xr:uid="{00000000-0005-0000-0000-0000B8000000}"/>
    <cellStyle name="20% - Énfasis2 7 2" xfId="2173" xr:uid="{00000000-0005-0000-0000-0000B9000000}"/>
    <cellStyle name="20% - Énfasis2 8" xfId="93" xr:uid="{00000000-0005-0000-0000-0000BA000000}"/>
    <cellStyle name="20% - Énfasis2 8 2" xfId="2174" xr:uid="{00000000-0005-0000-0000-0000BB000000}"/>
    <cellStyle name="20% - Énfasis2 9" xfId="94" xr:uid="{00000000-0005-0000-0000-0000BC000000}"/>
    <cellStyle name="20% - Énfasis2 9 2" xfId="2175" xr:uid="{00000000-0005-0000-0000-0000BD000000}"/>
    <cellStyle name="20% - Énfasis3" xfId="2067" builtinId="38" customBuiltin="1"/>
    <cellStyle name="20% - Énfasis3 1" xfId="95" xr:uid="{00000000-0005-0000-0000-0000BF000000}"/>
    <cellStyle name="20% - Énfasis3 1 2" xfId="2176" xr:uid="{00000000-0005-0000-0000-0000C0000000}"/>
    <cellStyle name="20% - Énfasis3 10" xfId="96" xr:uid="{00000000-0005-0000-0000-0000C1000000}"/>
    <cellStyle name="20% - Énfasis3 10 2" xfId="2177" xr:uid="{00000000-0005-0000-0000-0000C2000000}"/>
    <cellStyle name="20% - Énfasis3 11" xfId="97" xr:uid="{00000000-0005-0000-0000-0000C3000000}"/>
    <cellStyle name="20% - Énfasis3 11 2" xfId="2178" xr:uid="{00000000-0005-0000-0000-0000C4000000}"/>
    <cellStyle name="20% - Énfasis3 12" xfId="98" xr:uid="{00000000-0005-0000-0000-0000C5000000}"/>
    <cellStyle name="20% - Énfasis3 12 2" xfId="2179" xr:uid="{00000000-0005-0000-0000-0000C6000000}"/>
    <cellStyle name="20% - Énfasis3 13" xfId="99" xr:uid="{00000000-0005-0000-0000-0000C7000000}"/>
    <cellStyle name="20% - Énfasis3 13 2" xfId="2180" xr:uid="{00000000-0005-0000-0000-0000C8000000}"/>
    <cellStyle name="20% - Énfasis3 14" xfId="100" xr:uid="{00000000-0005-0000-0000-0000C9000000}"/>
    <cellStyle name="20% - Énfasis3 14 2" xfId="2181" xr:uid="{00000000-0005-0000-0000-0000CA000000}"/>
    <cellStyle name="20% - Énfasis3 15" xfId="101" xr:uid="{00000000-0005-0000-0000-0000CB000000}"/>
    <cellStyle name="20% - Énfasis3 15 2" xfId="2182" xr:uid="{00000000-0005-0000-0000-0000CC000000}"/>
    <cellStyle name="20% - Énfasis3 16" xfId="102" xr:uid="{00000000-0005-0000-0000-0000CD000000}"/>
    <cellStyle name="20% - Énfasis3 16 2" xfId="2183" xr:uid="{00000000-0005-0000-0000-0000CE000000}"/>
    <cellStyle name="20% - Énfasis3 17" xfId="103" xr:uid="{00000000-0005-0000-0000-0000CF000000}"/>
    <cellStyle name="20% - Énfasis3 17 2" xfId="2184" xr:uid="{00000000-0005-0000-0000-0000D0000000}"/>
    <cellStyle name="20% - Énfasis3 18" xfId="104" xr:uid="{00000000-0005-0000-0000-0000D1000000}"/>
    <cellStyle name="20% - Énfasis3 18 2" xfId="2185" xr:uid="{00000000-0005-0000-0000-0000D2000000}"/>
    <cellStyle name="20% - Énfasis3 19" xfId="105" xr:uid="{00000000-0005-0000-0000-0000D3000000}"/>
    <cellStyle name="20% - Énfasis3 19 2" xfId="2186" xr:uid="{00000000-0005-0000-0000-0000D4000000}"/>
    <cellStyle name="20% - Énfasis3 2" xfId="106" xr:uid="{00000000-0005-0000-0000-0000D5000000}"/>
    <cellStyle name="20% - Énfasis3 2 2" xfId="2187" xr:uid="{00000000-0005-0000-0000-0000D6000000}"/>
    <cellStyle name="20% - Énfasis3 20" xfId="107" xr:uid="{00000000-0005-0000-0000-0000D7000000}"/>
    <cellStyle name="20% - Énfasis3 20 2" xfId="2188" xr:uid="{00000000-0005-0000-0000-0000D8000000}"/>
    <cellStyle name="20% - Énfasis3 21" xfId="108" xr:uid="{00000000-0005-0000-0000-0000D9000000}"/>
    <cellStyle name="20% - Énfasis3 21 2" xfId="2189" xr:uid="{00000000-0005-0000-0000-0000DA000000}"/>
    <cellStyle name="20% - Énfasis3 22" xfId="109" xr:uid="{00000000-0005-0000-0000-0000DB000000}"/>
    <cellStyle name="20% - Énfasis3 22 2" xfId="2190" xr:uid="{00000000-0005-0000-0000-0000DC000000}"/>
    <cellStyle name="20% - Énfasis3 23" xfId="110" xr:uid="{00000000-0005-0000-0000-0000DD000000}"/>
    <cellStyle name="20% - Énfasis3 23 2" xfId="2191" xr:uid="{00000000-0005-0000-0000-0000DE000000}"/>
    <cellStyle name="20% - Énfasis3 24" xfId="111" xr:uid="{00000000-0005-0000-0000-0000DF000000}"/>
    <cellStyle name="20% - Énfasis3 24 2" xfId="2192" xr:uid="{00000000-0005-0000-0000-0000E0000000}"/>
    <cellStyle name="20% - Énfasis3 25" xfId="112" xr:uid="{00000000-0005-0000-0000-0000E1000000}"/>
    <cellStyle name="20% - Énfasis3 25 2" xfId="2193" xr:uid="{00000000-0005-0000-0000-0000E2000000}"/>
    <cellStyle name="20% - Énfasis3 26" xfId="113" xr:uid="{00000000-0005-0000-0000-0000E3000000}"/>
    <cellStyle name="20% - Énfasis3 26 2" xfId="2194" xr:uid="{00000000-0005-0000-0000-0000E4000000}"/>
    <cellStyle name="20% - Énfasis3 27" xfId="114" xr:uid="{00000000-0005-0000-0000-0000E5000000}"/>
    <cellStyle name="20% - Énfasis3 27 2" xfId="2195" xr:uid="{00000000-0005-0000-0000-0000E6000000}"/>
    <cellStyle name="20% - Énfasis3 28" xfId="115" xr:uid="{00000000-0005-0000-0000-0000E7000000}"/>
    <cellStyle name="20% - Énfasis3 28 2" xfId="2196" xr:uid="{00000000-0005-0000-0000-0000E8000000}"/>
    <cellStyle name="20% - Énfasis3 29" xfId="116" xr:uid="{00000000-0005-0000-0000-0000E9000000}"/>
    <cellStyle name="20% - Énfasis3 29 2" xfId="2197" xr:uid="{00000000-0005-0000-0000-0000EA000000}"/>
    <cellStyle name="20% - Énfasis3 3" xfId="117" xr:uid="{00000000-0005-0000-0000-0000EB000000}"/>
    <cellStyle name="20% - Énfasis3 3 2" xfId="2198" xr:uid="{00000000-0005-0000-0000-0000EC000000}"/>
    <cellStyle name="20% - Énfasis3 30" xfId="118" xr:uid="{00000000-0005-0000-0000-0000ED000000}"/>
    <cellStyle name="20% - Énfasis3 30 2" xfId="2199" xr:uid="{00000000-0005-0000-0000-0000EE000000}"/>
    <cellStyle name="20% - Énfasis3 31" xfId="119" xr:uid="{00000000-0005-0000-0000-0000EF000000}"/>
    <cellStyle name="20% - Énfasis3 31 2" xfId="2200" xr:uid="{00000000-0005-0000-0000-0000F0000000}"/>
    <cellStyle name="20% - Énfasis3 32" xfId="120" xr:uid="{00000000-0005-0000-0000-0000F1000000}"/>
    <cellStyle name="20% - Énfasis3 32 2" xfId="2201" xr:uid="{00000000-0005-0000-0000-0000F2000000}"/>
    <cellStyle name="20% - Énfasis3 33" xfId="121" xr:uid="{00000000-0005-0000-0000-0000F3000000}"/>
    <cellStyle name="20% - Énfasis3 33 2" xfId="2202" xr:uid="{00000000-0005-0000-0000-0000F4000000}"/>
    <cellStyle name="20% - Énfasis3 34" xfId="122" xr:uid="{00000000-0005-0000-0000-0000F5000000}"/>
    <cellStyle name="20% - Énfasis3 34 2" xfId="2203" xr:uid="{00000000-0005-0000-0000-0000F6000000}"/>
    <cellStyle name="20% - Énfasis3 35" xfId="123" xr:uid="{00000000-0005-0000-0000-0000F7000000}"/>
    <cellStyle name="20% - Énfasis3 35 2" xfId="2204" xr:uid="{00000000-0005-0000-0000-0000F8000000}"/>
    <cellStyle name="20% - Énfasis3 36" xfId="124" xr:uid="{00000000-0005-0000-0000-0000F9000000}"/>
    <cellStyle name="20% - Énfasis3 36 2" xfId="2205" xr:uid="{00000000-0005-0000-0000-0000FA000000}"/>
    <cellStyle name="20% - Énfasis3 37" xfId="125" xr:uid="{00000000-0005-0000-0000-0000FB000000}"/>
    <cellStyle name="20% - Énfasis3 37 2" xfId="2206" xr:uid="{00000000-0005-0000-0000-0000FC000000}"/>
    <cellStyle name="20% - Énfasis3 38" xfId="126" xr:uid="{00000000-0005-0000-0000-0000FD000000}"/>
    <cellStyle name="20% - Énfasis3 38 2" xfId="2207" xr:uid="{00000000-0005-0000-0000-0000FE000000}"/>
    <cellStyle name="20% - Énfasis3 39" xfId="127" xr:uid="{00000000-0005-0000-0000-0000FF000000}"/>
    <cellStyle name="20% - Énfasis3 39 2" xfId="2208" xr:uid="{00000000-0005-0000-0000-000000010000}"/>
    <cellStyle name="20% - Énfasis3 4" xfId="128" xr:uid="{00000000-0005-0000-0000-000001010000}"/>
    <cellStyle name="20% - Énfasis3 4 2" xfId="2209" xr:uid="{00000000-0005-0000-0000-000002010000}"/>
    <cellStyle name="20% - Énfasis3 40" xfId="129" xr:uid="{00000000-0005-0000-0000-000003010000}"/>
    <cellStyle name="20% - Énfasis3 40 2" xfId="2210" xr:uid="{00000000-0005-0000-0000-000004010000}"/>
    <cellStyle name="20% - Énfasis3 41" xfId="130" xr:uid="{00000000-0005-0000-0000-000005010000}"/>
    <cellStyle name="20% - Énfasis3 41 2" xfId="2211" xr:uid="{00000000-0005-0000-0000-000006010000}"/>
    <cellStyle name="20% - Énfasis3 42" xfId="131" xr:uid="{00000000-0005-0000-0000-000007010000}"/>
    <cellStyle name="20% - Énfasis3 42 2" xfId="2212" xr:uid="{00000000-0005-0000-0000-000008010000}"/>
    <cellStyle name="20% - Énfasis3 43" xfId="132" xr:uid="{00000000-0005-0000-0000-000009010000}"/>
    <cellStyle name="20% - Énfasis3 43 2" xfId="2213" xr:uid="{00000000-0005-0000-0000-00000A010000}"/>
    <cellStyle name="20% - Énfasis3 44" xfId="133" xr:uid="{00000000-0005-0000-0000-00000B010000}"/>
    <cellStyle name="20% - Énfasis3 44 2" xfId="2214" xr:uid="{00000000-0005-0000-0000-00000C010000}"/>
    <cellStyle name="20% - Énfasis3 45" xfId="134" xr:uid="{00000000-0005-0000-0000-00000D010000}"/>
    <cellStyle name="20% - Énfasis3 45 2" xfId="2215" xr:uid="{00000000-0005-0000-0000-00000E010000}"/>
    <cellStyle name="20% - Énfasis3 46" xfId="135" xr:uid="{00000000-0005-0000-0000-00000F010000}"/>
    <cellStyle name="20% - Énfasis3 46 2" xfId="2216" xr:uid="{00000000-0005-0000-0000-000010010000}"/>
    <cellStyle name="20% - Énfasis3 47" xfId="136" xr:uid="{00000000-0005-0000-0000-000011010000}"/>
    <cellStyle name="20% - Énfasis3 47 2" xfId="2217" xr:uid="{00000000-0005-0000-0000-000012010000}"/>
    <cellStyle name="20% - Énfasis3 5" xfId="137" xr:uid="{00000000-0005-0000-0000-000013010000}"/>
    <cellStyle name="20% - Énfasis3 5 2" xfId="2218" xr:uid="{00000000-0005-0000-0000-000014010000}"/>
    <cellStyle name="20% - Énfasis3 6" xfId="138" xr:uid="{00000000-0005-0000-0000-000015010000}"/>
    <cellStyle name="20% - Énfasis3 6 2" xfId="2219" xr:uid="{00000000-0005-0000-0000-000016010000}"/>
    <cellStyle name="20% - Énfasis3 7" xfId="139" xr:uid="{00000000-0005-0000-0000-000017010000}"/>
    <cellStyle name="20% - Énfasis3 7 2" xfId="2220" xr:uid="{00000000-0005-0000-0000-000018010000}"/>
    <cellStyle name="20% - Énfasis3 8" xfId="140" xr:uid="{00000000-0005-0000-0000-000019010000}"/>
    <cellStyle name="20% - Énfasis3 8 2" xfId="2221" xr:uid="{00000000-0005-0000-0000-00001A010000}"/>
    <cellStyle name="20% - Énfasis3 9" xfId="141" xr:uid="{00000000-0005-0000-0000-00001B010000}"/>
    <cellStyle name="20% - Énfasis3 9 2" xfId="2222" xr:uid="{00000000-0005-0000-0000-00001C010000}"/>
    <cellStyle name="20% - Énfasis4" xfId="2071" builtinId="42" customBuiltin="1"/>
    <cellStyle name="20% - Énfasis4 1" xfId="142" xr:uid="{00000000-0005-0000-0000-00001E010000}"/>
    <cellStyle name="20% - Énfasis4 1 2" xfId="2223" xr:uid="{00000000-0005-0000-0000-00001F010000}"/>
    <cellStyle name="20% - Énfasis4 10" xfId="143" xr:uid="{00000000-0005-0000-0000-000020010000}"/>
    <cellStyle name="20% - Énfasis4 10 2" xfId="2224" xr:uid="{00000000-0005-0000-0000-000021010000}"/>
    <cellStyle name="20% - Énfasis4 11" xfId="144" xr:uid="{00000000-0005-0000-0000-000022010000}"/>
    <cellStyle name="20% - Énfasis4 11 2" xfId="2225" xr:uid="{00000000-0005-0000-0000-000023010000}"/>
    <cellStyle name="20% - Énfasis4 12" xfId="145" xr:uid="{00000000-0005-0000-0000-000024010000}"/>
    <cellStyle name="20% - Énfasis4 12 2" xfId="2226" xr:uid="{00000000-0005-0000-0000-000025010000}"/>
    <cellStyle name="20% - Énfasis4 13" xfId="146" xr:uid="{00000000-0005-0000-0000-000026010000}"/>
    <cellStyle name="20% - Énfasis4 13 2" xfId="2227" xr:uid="{00000000-0005-0000-0000-000027010000}"/>
    <cellStyle name="20% - Énfasis4 14" xfId="147" xr:uid="{00000000-0005-0000-0000-000028010000}"/>
    <cellStyle name="20% - Énfasis4 14 2" xfId="2228" xr:uid="{00000000-0005-0000-0000-000029010000}"/>
    <cellStyle name="20% - Énfasis4 15" xfId="148" xr:uid="{00000000-0005-0000-0000-00002A010000}"/>
    <cellStyle name="20% - Énfasis4 15 2" xfId="2229" xr:uid="{00000000-0005-0000-0000-00002B010000}"/>
    <cellStyle name="20% - Énfasis4 16" xfId="149" xr:uid="{00000000-0005-0000-0000-00002C010000}"/>
    <cellStyle name="20% - Énfasis4 16 2" xfId="2230" xr:uid="{00000000-0005-0000-0000-00002D010000}"/>
    <cellStyle name="20% - Énfasis4 17" xfId="150" xr:uid="{00000000-0005-0000-0000-00002E010000}"/>
    <cellStyle name="20% - Énfasis4 17 2" xfId="2231" xr:uid="{00000000-0005-0000-0000-00002F010000}"/>
    <cellStyle name="20% - Énfasis4 18" xfId="151" xr:uid="{00000000-0005-0000-0000-000030010000}"/>
    <cellStyle name="20% - Énfasis4 18 2" xfId="2232" xr:uid="{00000000-0005-0000-0000-000031010000}"/>
    <cellStyle name="20% - Énfasis4 19" xfId="152" xr:uid="{00000000-0005-0000-0000-000032010000}"/>
    <cellStyle name="20% - Énfasis4 19 2" xfId="2233" xr:uid="{00000000-0005-0000-0000-000033010000}"/>
    <cellStyle name="20% - Énfasis4 2" xfId="153" xr:uid="{00000000-0005-0000-0000-000034010000}"/>
    <cellStyle name="20% - Énfasis4 2 2" xfId="2234" xr:uid="{00000000-0005-0000-0000-000035010000}"/>
    <cellStyle name="20% - Énfasis4 20" xfId="154" xr:uid="{00000000-0005-0000-0000-000036010000}"/>
    <cellStyle name="20% - Énfasis4 20 2" xfId="2235" xr:uid="{00000000-0005-0000-0000-000037010000}"/>
    <cellStyle name="20% - Énfasis4 21" xfId="155" xr:uid="{00000000-0005-0000-0000-000038010000}"/>
    <cellStyle name="20% - Énfasis4 21 2" xfId="2236" xr:uid="{00000000-0005-0000-0000-000039010000}"/>
    <cellStyle name="20% - Énfasis4 22" xfId="156" xr:uid="{00000000-0005-0000-0000-00003A010000}"/>
    <cellStyle name="20% - Énfasis4 22 2" xfId="2237" xr:uid="{00000000-0005-0000-0000-00003B010000}"/>
    <cellStyle name="20% - Énfasis4 23" xfId="157" xr:uid="{00000000-0005-0000-0000-00003C010000}"/>
    <cellStyle name="20% - Énfasis4 23 2" xfId="2238" xr:uid="{00000000-0005-0000-0000-00003D010000}"/>
    <cellStyle name="20% - Énfasis4 24" xfId="158" xr:uid="{00000000-0005-0000-0000-00003E010000}"/>
    <cellStyle name="20% - Énfasis4 24 2" xfId="2239" xr:uid="{00000000-0005-0000-0000-00003F010000}"/>
    <cellStyle name="20% - Énfasis4 25" xfId="159" xr:uid="{00000000-0005-0000-0000-000040010000}"/>
    <cellStyle name="20% - Énfasis4 25 2" xfId="2240" xr:uid="{00000000-0005-0000-0000-000041010000}"/>
    <cellStyle name="20% - Énfasis4 26" xfId="160" xr:uid="{00000000-0005-0000-0000-000042010000}"/>
    <cellStyle name="20% - Énfasis4 26 2" xfId="2241" xr:uid="{00000000-0005-0000-0000-000043010000}"/>
    <cellStyle name="20% - Énfasis4 27" xfId="161" xr:uid="{00000000-0005-0000-0000-000044010000}"/>
    <cellStyle name="20% - Énfasis4 27 2" xfId="2242" xr:uid="{00000000-0005-0000-0000-000045010000}"/>
    <cellStyle name="20% - Énfasis4 28" xfId="162" xr:uid="{00000000-0005-0000-0000-000046010000}"/>
    <cellStyle name="20% - Énfasis4 28 2" xfId="2243" xr:uid="{00000000-0005-0000-0000-000047010000}"/>
    <cellStyle name="20% - Énfasis4 29" xfId="163" xr:uid="{00000000-0005-0000-0000-000048010000}"/>
    <cellStyle name="20% - Énfasis4 29 2" xfId="2244" xr:uid="{00000000-0005-0000-0000-000049010000}"/>
    <cellStyle name="20% - Énfasis4 3" xfId="164" xr:uid="{00000000-0005-0000-0000-00004A010000}"/>
    <cellStyle name="20% - Énfasis4 3 2" xfId="2245" xr:uid="{00000000-0005-0000-0000-00004B010000}"/>
    <cellStyle name="20% - Énfasis4 30" xfId="165" xr:uid="{00000000-0005-0000-0000-00004C010000}"/>
    <cellStyle name="20% - Énfasis4 30 2" xfId="2246" xr:uid="{00000000-0005-0000-0000-00004D010000}"/>
    <cellStyle name="20% - Énfasis4 31" xfId="166" xr:uid="{00000000-0005-0000-0000-00004E010000}"/>
    <cellStyle name="20% - Énfasis4 31 2" xfId="2247" xr:uid="{00000000-0005-0000-0000-00004F010000}"/>
    <cellStyle name="20% - Énfasis4 32" xfId="167" xr:uid="{00000000-0005-0000-0000-000050010000}"/>
    <cellStyle name="20% - Énfasis4 32 2" xfId="2248" xr:uid="{00000000-0005-0000-0000-000051010000}"/>
    <cellStyle name="20% - Énfasis4 33" xfId="168" xr:uid="{00000000-0005-0000-0000-000052010000}"/>
    <cellStyle name="20% - Énfasis4 33 2" xfId="2249" xr:uid="{00000000-0005-0000-0000-000053010000}"/>
    <cellStyle name="20% - Énfasis4 34" xfId="169" xr:uid="{00000000-0005-0000-0000-000054010000}"/>
    <cellStyle name="20% - Énfasis4 34 2" xfId="2250" xr:uid="{00000000-0005-0000-0000-000055010000}"/>
    <cellStyle name="20% - Énfasis4 35" xfId="170" xr:uid="{00000000-0005-0000-0000-000056010000}"/>
    <cellStyle name="20% - Énfasis4 35 2" xfId="2251" xr:uid="{00000000-0005-0000-0000-000057010000}"/>
    <cellStyle name="20% - Énfasis4 36" xfId="171" xr:uid="{00000000-0005-0000-0000-000058010000}"/>
    <cellStyle name="20% - Énfasis4 36 2" xfId="2252" xr:uid="{00000000-0005-0000-0000-000059010000}"/>
    <cellStyle name="20% - Énfasis4 37" xfId="172" xr:uid="{00000000-0005-0000-0000-00005A010000}"/>
    <cellStyle name="20% - Énfasis4 37 2" xfId="2253" xr:uid="{00000000-0005-0000-0000-00005B010000}"/>
    <cellStyle name="20% - Énfasis4 38" xfId="173" xr:uid="{00000000-0005-0000-0000-00005C010000}"/>
    <cellStyle name="20% - Énfasis4 38 2" xfId="2254" xr:uid="{00000000-0005-0000-0000-00005D010000}"/>
    <cellStyle name="20% - Énfasis4 39" xfId="174" xr:uid="{00000000-0005-0000-0000-00005E010000}"/>
    <cellStyle name="20% - Énfasis4 39 2" xfId="2255" xr:uid="{00000000-0005-0000-0000-00005F010000}"/>
    <cellStyle name="20% - Énfasis4 4" xfId="175" xr:uid="{00000000-0005-0000-0000-000060010000}"/>
    <cellStyle name="20% - Énfasis4 4 2" xfId="2256" xr:uid="{00000000-0005-0000-0000-000061010000}"/>
    <cellStyle name="20% - Énfasis4 40" xfId="176" xr:uid="{00000000-0005-0000-0000-000062010000}"/>
    <cellStyle name="20% - Énfasis4 40 2" xfId="2257" xr:uid="{00000000-0005-0000-0000-000063010000}"/>
    <cellStyle name="20% - Énfasis4 41" xfId="177" xr:uid="{00000000-0005-0000-0000-000064010000}"/>
    <cellStyle name="20% - Énfasis4 41 2" xfId="2258" xr:uid="{00000000-0005-0000-0000-000065010000}"/>
    <cellStyle name="20% - Énfasis4 42" xfId="178" xr:uid="{00000000-0005-0000-0000-000066010000}"/>
    <cellStyle name="20% - Énfasis4 42 2" xfId="2259" xr:uid="{00000000-0005-0000-0000-000067010000}"/>
    <cellStyle name="20% - Énfasis4 43" xfId="179" xr:uid="{00000000-0005-0000-0000-000068010000}"/>
    <cellStyle name="20% - Énfasis4 43 2" xfId="2260" xr:uid="{00000000-0005-0000-0000-000069010000}"/>
    <cellStyle name="20% - Énfasis4 44" xfId="180" xr:uid="{00000000-0005-0000-0000-00006A010000}"/>
    <cellStyle name="20% - Énfasis4 44 2" xfId="2261" xr:uid="{00000000-0005-0000-0000-00006B010000}"/>
    <cellStyle name="20% - Énfasis4 45" xfId="181" xr:uid="{00000000-0005-0000-0000-00006C010000}"/>
    <cellStyle name="20% - Énfasis4 45 2" xfId="2262" xr:uid="{00000000-0005-0000-0000-00006D010000}"/>
    <cellStyle name="20% - Énfasis4 46" xfId="182" xr:uid="{00000000-0005-0000-0000-00006E010000}"/>
    <cellStyle name="20% - Énfasis4 46 2" xfId="2263" xr:uid="{00000000-0005-0000-0000-00006F010000}"/>
    <cellStyle name="20% - Énfasis4 47" xfId="183" xr:uid="{00000000-0005-0000-0000-000070010000}"/>
    <cellStyle name="20% - Énfasis4 47 2" xfId="2264" xr:uid="{00000000-0005-0000-0000-000071010000}"/>
    <cellStyle name="20% - Énfasis4 5" xfId="184" xr:uid="{00000000-0005-0000-0000-000072010000}"/>
    <cellStyle name="20% - Énfasis4 5 2" xfId="2265" xr:uid="{00000000-0005-0000-0000-000073010000}"/>
    <cellStyle name="20% - Énfasis4 6" xfId="185" xr:uid="{00000000-0005-0000-0000-000074010000}"/>
    <cellStyle name="20% - Énfasis4 6 2" xfId="2266" xr:uid="{00000000-0005-0000-0000-000075010000}"/>
    <cellStyle name="20% - Énfasis4 7" xfId="186" xr:uid="{00000000-0005-0000-0000-000076010000}"/>
    <cellStyle name="20% - Énfasis4 7 2" xfId="2267" xr:uid="{00000000-0005-0000-0000-000077010000}"/>
    <cellStyle name="20% - Énfasis4 8" xfId="187" xr:uid="{00000000-0005-0000-0000-000078010000}"/>
    <cellStyle name="20% - Énfasis4 8 2" xfId="2268" xr:uid="{00000000-0005-0000-0000-000079010000}"/>
    <cellStyle name="20% - Énfasis4 9" xfId="188" xr:uid="{00000000-0005-0000-0000-00007A010000}"/>
    <cellStyle name="20% - Énfasis4 9 2" xfId="2269" xr:uid="{00000000-0005-0000-0000-00007B010000}"/>
    <cellStyle name="20% - Énfasis5" xfId="2075" builtinId="46" customBuiltin="1"/>
    <cellStyle name="20% - Énfasis5 1" xfId="189" xr:uid="{00000000-0005-0000-0000-00007D010000}"/>
    <cellStyle name="20% - Énfasis5 1 2" xfId="2270" xr:uid="{00000000-0005-0000-0000-00007E010000}"/>
    <cellStyle name="20% - Énfasis5 10" xfId="190" xr:uid="{00000000-0005-0000-0000-00007F010000}"/>
    <cellStyle name="20% - Énfasis5 10 2" xfId="2271" xr:uid="{00000000-0005-0000-0000-000080010000}"/>
    <cellStyle name="20% - Énfasis5 11" xfId="191" xr:uid="{00000000-0005-0000-0000-000081010000}"/>
    <cellStyle name="20% - Énfasis5 11 2" xfId="2272" xr:uid="{00000000-0005-0000-0000-000082010000}"/>
    <cellStyle name="20% - Énfasis5 12" xfId="192" xr:uid="{00000000-0005-0000-0000-000083010000}"/>
    <cellStyle name="20% - Énfasis5 12 2" xfId="2273" xr:uid="{00000000-0005-0000-0000-000084010000}"/>
    <cellStyle name="20% - Énfasis5 13" xfId="193" xr:uid="{00000000-0005-0000-0000-000085010000}"/>
    <cellStyle name="20% - Énfasis5 13 2" xfId="2274" xr:uid="{00000000-0005-0000-0000-000086010000}"/>
    <cellStyle name="20% - Énfasis5 14" xfId="194" xr:uid="{00000000-0005-0000-0000-000087010000}"/>
    <cellStyle name="20% - Énfasis5 14 2" xfId="2275" xr:uid="{00000000-0005-0000-0000-000088010000}"/>
    <cellStyle name="20% - Énfasis5 15" xfId="195" xr:uid="{00000000-0005-0000-0000-000089010000}"/>
    <cellStyle name="20% - Énfasis5 15 2" xfId="2276" xr:uid="{00000000-0005-0000-0000-00008A010000}"/>
    <cellStyle name="20% - Énfasis5 16" xfId="196" xr:uid="{00000000-0005-0000-0000-00008B010000}"/>
    <cellStyle name="20% - Énfasis5 16 2" xfId="2277" xr:uid="{00000000-0005-0000-0000-00008C010000}"/>
    <cellStyle name="20% - Énfasis5 17" xfId="197" xr:uid="{00000000-0005-0000-0000-00008D010000}"/>
    <cellStyle name="20% - Énfasis5 17 2" xfId="2278" xr:uid="{00000000-0005-0000-0000-00008E010000}"/>
    <cellStyle name="20% - Énfasis5 18" xfId="198" xr:uid="{00000000-0005-0000-0000-00008F010000}"/>
    <cellStyle name="20% - Énfasis5 18 2" xfId="2279" xr:uid="{00000000-0005-0000-0000-000090010000}"/>
    <cellStyle name="20% - Énfasis5 19" xfId="199" xr:uid="{00000000-0005-0000-0000-000091010000}"/>
    <cellStyle name="20% - Énfasis5 19 2" xfId="2280" xr:uid="{00000000-0005-0000-0000-000092010000}"/>
    <cellStyle name="20% - Énfasis5 2" xfId="200" xr:uid="{00000000-0005-0000-0000-000093010000}"/>
    <cellStyle name="20% - Énfasis5 2 2" xfId="2281" xr:uid="{00000000-0005-0000-0000-000094010000}"/>
    <cellStyle name="20% - Énfasis5 20" xfId="201" xr:uid="{00000000-0005-0000-0000-000095010000}"/>
    <cellStyle name="20% - Énfasis5 20 2" xfId="2282" xr:uid="{00000000-0005-0000-0000-000096010000}"/>
    <cellStyle name="20% - Énfasis5 21" xfId="202" xr:uid="{00000000-0005-0000-0000-000097010000}"/>
    <cellStyle name="20% - Énfasis5 21 2" xfId="2283" xr:uid="{00000000-0005-0000-0000-000098010000}"/>
    <cellStyle name="20% - Énfasis5 22" xfId="203" xr:uid="{00000000-0005-0000-0000-000099010000}"/>
    <cellStyle name="20% - Énfasis5 22 2" xfId="2284" xr:uid="{00000000-0005-0000-0000-00009A010000}"/>
    <cellStyle name="20% - Énfasis5 23" xfId="204" xr:uid="{00000000-0005-0000-0000-00009B010000}"/>
    <cellStyle name="20% - Énfasis5 23 2" xfId="2285" xr:uid="{00000000-0005-0000-0000-00009C010000}"/>
    <cellStyle name="20% - Énfasis5 24" xfId="205" xr:uid="{00000000-0005-0000-0000-00009D010000}"/>
    <cellStyle name="20% - Énfasis5 24 2" xfId="2286" xr:uid="{00000000-0005-0000-0000-00009E010000}"/>
    <cellStyle name="20% - Énfasis5 25" xfId="206" xr:uid="{00000000-0005-0000-0000-00009F010000}"/>
    <cellStyle name="20% - Énfasis5 25 2" xfId="2287" xr:uid="{00000000-0005-0000-0000-0000A0010000}"/>
    <cellStyle name="20% - Énfasis5 26" xfId="207" xr:uid="{00000000-0005-0000-0000-0000A1010000}"/>
    <cellStyle name="20% - Énfasis5 26 2" xfId="2288" xr:uid="{00000000-0005-0000-0000-0000A2010000}"/>
    <cellStyle name="20% - Énfasis5 27" xfId="208" xr:uid="{00000000-0005-0000-0000-0000A3010000}"/>
    <cellStyle name="20% - Énfasis5 27 2" xfId="2289" xr:uid="{00000000-0005-0000-0000-0000A4010000}"/>
    <cellStyle name="20% - Énfasis5 28" xfId="209" xr:uid="{00000000-0005-0000-0000-0000A5010000}"/>
    <cellStyle name="20% - Énfasis5 28 2" xfId="2290" xr:uid="{00000000-0005-0000-0000-0000A6010000}"/>
    <cellStyle name="20% - Énfasis5 29" xfId="210" xr:uid="{00000000-0005-0000-0000-0000A7010000}"/>
    <cellStyle name="20% - Énfasis5 29 2" xfId="2291" xr:uid="{00000000-0005-0000-0000-0000A8010000}"/>
    <cellStyle name="20% - Énfasis5 3" xfId="211" xr:uid="{00000000-0005-0000-0000-0000A9010000}"/>
    <cellStyle name="20% - Énfasis5 3 2" xfId="2292" xr:uid="{00000000-0005-0000-0000-0000AA010000}"/>
    <cellStyle name="20% - Énfasis5 30" xfId="212" xr:uid="{00000000-0005-0000-0000-0000AB010000}"/>
    <cellStyle name="20% - Énfasis5 30 2" xfId="2293" xr:uid="{00000000-0005-0000-0000-0000AC010000}"/>
    <cellStyle name="20% - Énfasis5 31" xfId="213" xr:uid="{00000000-0005-0000-0000-0000AD010000}"/>
    <cellStyle name="20% - Énfasis5 31 2" xfId="2294" xr:uid="{00000000-0005-0000-0000-0000AE010000}"/>
    <cellStyle name="20% - Énfasis5 32" xfId="214" xr:uid="{00000000-0005-0000-0000-0000AF010000}"/>
    <cellStyle name="20% - Énfasis5 32 2" xfId="2295" xr:uid="{00000000-0005-0000-0000-0000B0010000}"/>
    <cellStyle name="20% - Énfasis5 33" xfId="215" xr:uid="{00000000-0005-0000-0000-0000B1010000}"/>
    <cellStyle name="20% - Énfasis5 33 2" xfId="2296" xr:uid="{00000000-0005-0000-0000-0000B2010000}"/>
    <cellStyle name="20% - Énfasis5 34" xfId="216" xr:uid="{00000000-0005-0000-0000-0000B3010000}"/>
    <cellStyle name="20% - Énfasis5 34 2" xfId="2297" xr:uid="{00000000-0005-0000-0000-0000B4010000}"/>
    <cellStyle name="20% - Énfasis5 35" xfId="217" xr:uid="{00000000-0005-0000-0000-0000B5010000}"/>
    <cellStyle name="20% - Énfasis5 35 2" xfId="2298" xr:uid="{00000000-0005-0000-0000-0000B6010000}"/>
    <cellStyle name="20% - Énfasis5 36" xfId="218" xr:uid="{00000000-0005-0000-0000-0000B7010000}"/>
    <cellStyle name="20% - Énfasis5 36 2" xfId="2299" xr:uid="{00000000-0005-0000-0000-0000B8010000}"/>
    <cellStyle name="20% - Énfasis5 37" xfId="219" xr:uid="{00000000-0005-0000-0000-0000B9010000}"/>
    <cellStyle name="20% - Énfasis5 37 2" xfId="2300" xr:uid="{00000000-0005-0000-0000-0000BA010000}"/>
    <cellStyle name="20% - Énfasis5 38" xfId="220" xr:uid="{00000000-0005-0000-0000-0000BB010000}"/>
    <cellStyle name="20% - Énfasis5 38 2" xfId="2301" xr:uid="{00000000-0005-0000-0000-0000BC010000}"/>
    <cellStyle name="20% - Énfasis5 39" xfId="221" xr:uid="{00000000-0005-0000-0000-0000BD010000}"/>
    <cellStyle name="20% - Énfasis5 39 2" xfId="2302" xr:uid="{00000000-0005-0000-0000-0000BE010000}"/>
    <cellStyle name="20% - Énfasis5 4" xfId="222" xr:uid="{00000000-0005-0000-0000-0000BF010000}"/>
    <cellStyle name="20% - Énfasis5 4 2" xfId="2303" xr:uid="{00000000-0005-0000-0000-0000C0010000}"/>
    <cellStyle name="20% - Énfasis5 40" xfId="223" xr:uid="{00000000-0005-0000-0000-0000C1010000}"/>
    <cellStyle name="20% - Énfasis5 40 2" xfId="2304" xr:uid="{00000000-0005-0000-0000-0000C2010000}"/>
    <cellStyle name="20% - Énfasis5 41" xfId="224" xr:uid="{00000000-0005-0000-0000-0000C3010000}"/>
    <cellStyle name="20% - Énfasis5 41 2" xfId="2305" xr:uid="{00000000-0005-0000-0000-0000C4010000}"/>
    <cellStyle name="20% - Énfasis5 42" xfId="225" xr:uid="{00000000-0005-0000-0000-0000C5010000}"/>
    <cellStyle name="20% - Énfasis5 42 2" xfId="2306" xr:uid="{00000000-0005-0000-0000-0000C6010000}"/>
    <cellStyle name="20% - Énfasis5 43" xfId="226" xr:uid="{00000000-0005-0000-0000-0000C7010000}"/>
    <cellStyle name="20% - Énfasis5 43 2" xfId="2307" xr:uid="{00000000-0005-0000-0000-0000C8010000}"/>
    <cellStyle name="20% - Énfasis5 44" xfId="227" xr:uid="{00000000-0005-0000-0000-0000C9010000}"/>
    <cellStyle name="20% - Énfasis5 44 2" xfId="2308" xr:uid="{00000000-0005-0000-0000-0000CA010000}"/>
    <cellStyle name="20% - Énfasis5 45" xfId="228" xr:uid="{00000000-0005-0000-0000-0000CB010000}"/>
    <cellStyle name="20% - Énfasis5 45 2" xfId="2309" xr:uid="{00000000-0005-0000-0000-0000CC010000}"/>
    <cellStyle name="20% - Énfasis5 46" xfId="229" xr:uid="{00000000-0005-0000-0000-0000CD010000}"/>
    <cellStyle name="20% - Énfasis5 46 2" xfId="2310" xr:uid="{00000000-0005-0000-0000-0000CE010000}"/>
    <cellStyle name="20% - Énfasis5 47" xfId="230" xr:uid="{00000000-0005-0000-0000-0000CF010000}"/>
    <cellStyle name="20% - Énfasis5 47 2" xfId="2311" xr:uid="{00000000-0005-0000-0000-0000D0010000}"/>
    <cellStyle name="20% - Énfasis5 5" xfId="231" xr:uid="{00000000-0005-0000-0000-0000D1010000}"/>
    <cellStyle name="20% - Énfasis5 5 2" xfId="2312" xr:uid="{00000000-0005-0000-0000-0000D2010000}"/>
    <cellStyle name="20% - Énfasis5 6" xfId="232" xr:uid="{00000000-0005-0000-0000-0000D3010000}"/>
    <cellStyle name="20% - Énfasis5 6 2" xfId="2313" xr:uid="{00000000-0005-0000-0000-0000D4010000}"/>
    <cellStyle name="20% - Énfasis5 7" xfId="233" xr:uid="{00000000-0005-0000-0000-0000D5010000}"/>
    <cellStyle name="20% - Énfasis5 7 2" xfId="2314" xr:uid="{00000000-0005-0000-0000-0000D6010000}"/>
    <cellStyle name="20% - Énfasis5 8" xfId="234" xr:uid="{00000000-0005-0000-0000-0000D7010000}"/>
    <cellStyle name="20% - Énfasis5 8 2" xfId="2315" xr:uid="{00000000-0005-0000-0000-0000D8010000}"/>
    <cellStyle name="20% - Énfasis5 9" xfId="235" xr:uid="{00000000-0005-0000-0000-0000D9010000}"/>
    <cellStyle name="20% - Énfasis5 9 2" xfId="2316" xr:uid="{00000000-0005-0000-0000-0000DA010000}"/>
    <cellStyle name="20% - Énfasis6" xfId="2079" builtinId="50" customBuiltin="1"/>
    <cellStyle name="20% - Énfasis6 1" xfId="236" xr:uid="{00000000-0005-0000-0000-0000DC010000}"/>
    <cellStyle name="20% - Énfasis6 1 2" xfId="2317" xr:uid="{00000000-0005-0000-0000-0000DD010000}"/>
    <cellStyle name="20% - Énfasis6 10" xfId="237" xr:uid="{00000000-0005-0000-0000-0000DE010000}"/>
    <cellStyle name="20% - Énfasis6 10 2" xfId="2318" xr:uid="{00000000-0005-0000-0000-0000DF010000}"/>
    <cellStyle name="20% - Énfasis6 11" xfId="238" xr:uid="{00000000-0005-0000-0000-0000E0010000}"/>
    <cellStyle name="20% - Énfasis6 11 2" xfId="2319" xr:uid="{00000000-0005-0000-0000-0000E1010000}"/>
    <cellStyle name="20% - Énfasis6 12" xfId="239" xr:uid="{00000000-0005-0000-0000-0000E2010000}"/>
    <cellStyle name="20% - Énfasis6 12 2" xfId="2320" xr:uid="{00000000-0005-0000-0000-0000E3010000}"/>
    <cellStyle name="20% - Énfasis6 13" xfId="240" xr:uid="{00000000-0005-0000-0000-0000E4010000}"/>
    <cellStyle name="20% - Énfasis6 13 2" xfId="2321" xr:uid="{00000000-0005-0000-0000-0000E5010000}"/>
    <cellStyle name="20% - Énfasis6 14" xfId="241" xr:uid="{00000000-0005-0000-0000-0000E6010000}"/>
    <cellStyle name="20% - Énfasis6 14 2" xfId="2322" xr:uid="{00000000-0005-0000-0000-0000E7010000}"/>
    <cellStyle name="20% - Énfasis6 15" xfId="242" xr:uid="{00000000-0005-0000-0000-0000E8010000}"/>
    <cellStyle name="20% - Énfasis6 15 2" xfId="2323" xr:uid="{00000000-0005-0000-0000-0000E9010000}"/>
    <cellStyle name="20% - Énfasis6 16" xfId="243" xr:uid="{00000000-0005-0000-0000-0000EA010000}"/>
    <cellStyle name="20% - Énfasis6 16 2" xfId="2324" xr:uid="{00000000-0005-0000-0000-0000EB010000}"/>
    <cellStyle name="20% - Énfasis6 17" xfId="244" xr:uid="{00000000-0005-0000-0000-0000EC010000}"/>
    <cellStyle name="20% - Énfasis6 17 2" xfId="2325" xr:uid="{00000000-0005-0000-0000-0000ED010000}"/>
    <cellStyle name="20% - Énfasis6 18" xfId="245" xr:uid="{00000000-0005-0000-0000-0000EE010000}"/>
    <cellStyle name="20% - Énfasis6 18 2" xfId="2326" xr:uid="{00000000-0005-0000-0000-0000EF010000}"/>
    <cellStyle name="20% - Énfasis6 19" xfId="246" xr:uid="{00000000-0005-0000-0000-0000F0010000}"/>
    <cellStyle name="20% - Énfasis6 19 2" xfId="2327" xr:uid="{00000000-0005-0000-0000-0000F1010000}"/>
    <cellStyle name="20% - Énfasis6 2" xfId="247" xr:uid="{00000000-0005-0000-0000-0000F2010000}"/>
    <cellStyle name="20% - Énfasis6 2 2" xfId="2328" xr:uid="{00000000-0005-0000-0000-0000F3010000}"/>
    <cellStyle name="20% - Énfasis6 20" xfId="248" xr:uid="{00000000-0005-0000-0000-0000F4010000}"/>
    <cellStyle name="20% - Énfasis6 20 2" xfId="2329" xr:uid="{00000000-0005-0000-0000-0000F5010000}"/>
    <cellStyle name="20% - Énfasis6 21" xfId="249" xr:uid="{00000000-0005-0000-0000-0000F6010000}"/>
    <cellStyle name="20% - Énfasis6 21 2" xfId="2330" xr:uid="{00000000-0005-0000-0000-0000F7010000}"/>
    <cellStyle name="20% - Énfasis6 22" xfId="250" xr:uid="{00000000-0005-0000-0000-0000F8010000}"/>
    <cellStyle name="20% - Énfasis6 22 2" xfId="2331" xr:uid="{00000000-0005-0000-0000-0000F9010000}"/>
    <cellStyle name="20% - Énfasis6 23" xfId="251" xr:uid="{00000000-0005-0000-0000-0000FA010000}"/>
    <cellStyle name="20% - Énfasis6 23 2" xfId="2332" xr:uid="{00000000-0005-0000-0000-0000FB010000}"/>
    <cellStyle name="20% - Énfasis6 24" xfId="252" xr:uid="{00000000-0005-0000-0000-0000FC010000}"/>
    <cellStyle name="20% - Énfasis6 24 2" xfId="2333" xr:uid="{00000000-0005-0000-0000-0000FD010000}"/>
    <cellStyle name="20% - Énfasis6 25" xfId="253" xr:uid="{00000000-0005-0000-0000-0000FE010000}"/>
    <cellStyle name="20% - Énfasis6 25 2" xfId="2334" xr:uid="{00000000-0005-0000-0000-0000FF010000}"/>
    <cellStyle name="20% - Énfasis6 26" xfId="254" xr:uid="{00000000-0005-0000-0000-000000020000}"/>
    <cellStyle name="20% - Énfasis6 26 2" xfId="2335" xr:uid="{00000000-0005-0000-0000-000001020000}"/>
    <cellStyle name="20% - Énfasis6 27" xfId="255" xr:uid="{00000000-0005-0000-0000-000002020000}"/>
    <cellStyle name="20% - Énfasis6 27 2" xfId="2336" xr:uid="{00000000-0005-0000-0000-000003020000}"/>
    <cellStyle name="20% - Énfasis6 28" xfId="256" xr:uid="{00000000-0005-0000-0000-000004020000}"/>
    <cellStyle name="20% - Énfasis6 28 2" xfId="2337" xr:uid="{00000000-0005-0000-0000-000005020000}"/>
    <cellStyle name="20% - Énfasis6 29" xfId="257" xr:uid="{00000000-0005-0000-0000-000006020000}"/>
    <cellStyle name="20% - Énfasis6 29 2" xfId="2338" xr:uid="{00000000-0005-0000-0000-000007020000}"/>
    <cellStyle name="20% - Énfasis6 3" xfId="258" xr:uid="{00000000-0005-0000-0000-000008020000}"/>
    <cellStyle name="20% - Énfasis6 3 2" xfId="2339" xr:uid="{00000000-0005-0000-0000-000009020000}"/>
    <cellStyle name="20% - Énfasis6 30" xfId="259" xr:uid="{00000000-0005-0000-0000-00000A020000}"/>
    <cellStyle name="20% - Énfasis6 30 2" xfId="2340" xr:uid="{00000000-0005-0000-0000-00000B020000}"/>
    <cellStyle name="20% - Énfasis6 31" xfId="260" xr:uid="{00000000-0005-0000-0000-00000C020000}"/>
    <cellStyle name="20% - Énfasis6 31 2" xfId="2341" xr:uid="{00000000-0005-0000-0000-00000D020000}"/>
    <cellStyle name="20% - Énfasis6 32" xfId="261" xr:uid="{00000000-0005-0000-0000-00000E020000}"/>
    <cellStyle name="20% - Énfasis6 32 2" xfId="2342" xr:uid="{00000000-0005-0000-0000-00000F020000}"/>
    <cellStyle name="20% - Énfasis6 33" xfId="262" xr:uid="{00000000-0005-0000-0000-000010020000}"/>
    <cellStyle name="20% - Énfasis6 33 2" xfId="2343" xr:uid="{00000000-0005-0000-0000-000011020000}"/>
    <cellStyle name="20% - Énfasis6 34" xfId="263" xr:uid="{00000000-0005-0000-0000-000012020000}"/>
    <cellStyle name="20% - Énfasis6 34 2" xfId="2344" xr:uid="{00000000-0005-0000-0000-000013020000}"/>
    <cellStyle name="20% - Énfasis6 35" xfId="264" xr:uid="{00000000-0005-0000-0000-000014020000}"/>
    <cellStyle name="20% - Énfasis6 35 2" xfId="2345" xr:uid="{00000000-0005-0000-0000-000015020000}"/>
    <cellStyle name="20% - Énfasis6 36" xfId="265" xr:uid="{00000000-0005-0000-0000-000016020000}"/>
    <cellStyle name="20% - Énfasis6 36 2" xfId="2346" xr:uid="{00000000-0005-0000-0000-000017020000}"/>
    <cellStyle name="20% - Énfasis6 37" xfId="266" xr:uid="{00000000-0005-0000-0000-000018020000}"/>
    <cellStyle name="20% - Énfasis6 37 2" xfId="2347" xr:uid="{00000000-0005-0000-0000-000019020000}"/>
    <cellStyle name="20% - Énfasis6 38" xfId="267" xr:uid="{00000000-0005-0000-0000-00001A020000}"/>
    <cellStyle name="20% - Énfasis6 38 2" xfId="2348" xr:uid="{00000000-0005-0000-0000-00001B020000}"/>
    <cellStyle name="20% - Énfasis6 39" xfId="268" xr:uid="{00000000-0005-0000-0000-00001C020000}"/>
    <cellStyle name="20% - Énfasis6 39 2" xfId="2349" xr:uid="{00000000-0005-0000-0000-00001D020000}"/>
    <cellStyle name="20% - Énfasis6 4" xfId="269" xr:uid="{00000000-0005-0000-0000-00001E020000}"/>
    <cellStyle name="20% - Énfasis6 4 2" xfId="2350" xr:uid="{00000000-0005-0000-0000-00001F020000}"/>
    <cellStyle name="20% - Énfasis6 40" xfId="270" xr:uid="{00000000-0005-0000-0000-000020020000}"/>
    <cellStyle name="20% - Énfasis6 40 2" xfId="2351" xr:uid="{00000000-0005-0000-0000-000021020000}"/>
    <cellStyle name="20% - Énfasis6 41" xfId="271" xr:uid="{00000000-0005-0000-0000-000022020000}"/>
    <cellStyle name="20% - Énfasis6 41 2" xfId="2352" xr:uid="{00000000-0005-0000-0000-000023020000}"/>
    <cellStyle name="20% - Énfasis6 42" xfId="272" xr:uid="{00000000-0005-0000-0000-000024020000}"/>
    <cellStyle name="20% - Énfasis6 42 2" xfId="2353" xr:uid="{00000000-0005-0000-0000-000025020000}"/>
    <cellStyle name="20% - Énfasis6 43" xfId="273" xr:uid="{00000000-0005-0000-0000-000026020000}"/>
    <cellStyle name="20% - Énfasis6 43 2" xfId="2354" xr:uid="{00000000-0005-0000-0000-000027020000}"/>
    <cellStyle name="20% - Énfasis6 44" xfId="274" xr:uid="{00000000-0005-0000-0000-000028020000}"/>
    <cellStyle name="20% - Énfasis6 44 2" xfId="2355" xr:uid="{00000000-0005-0000-0000-000029020000}"/>
    <cellStyle name="20% - Énfasis6 45" xfId="275" xr:uid="{00000000-0005-0000-0000-00002A020000}"/>
    <cellStyle name="20% - Énfasis6 45 2" xfId="2356" xr:uid="{00000000-0005-0000-0000-00002B020000}"/>
    <cellStyle name="20% - Énfasis6 46" xfId="276" xr:uid="{00000000-0005-0000-0000-00002C020000}"/>
    <cellStyle name="20% - Énfasis6 46 2" xfId="2357" xr:uid="{00000000-0005-0000-0000-00002D020000}"/>
    <cellStyle name="20% - Énfasis6 47" xfId="277" xr:uid="{00000000-0005-0000-0000-00002E020000}"/>
    <cellStyle name="20% - Énfasis6 47 2" xfId="2358" xr:uid="{00000000-0005-0000-0000-00002F020000}"/>
    <cellStyle name="20% - Énfasis6 5" xfId="278" xr:uid="{00000000-0005-0000-0000-000030020000}"/>
    <cellStyle name="20% - Énfasis6 5 2" xfId="2359" xr:uid="{00000000-0005-0000-0000-000031020000}"/>
    <cellStyle name="20% - Énfasis6 6" xfId="279" xr:uid="{00000000-0005-0000-0000-000032020000}"/>
    <cellStyle name="20% - Énfasis6 6 2" xfId="2360" xr:uid="{00000000-0005-0000-0000-000033020000}"/>
    <cellStyle name="20% - Énfasis6 7" xfId="280" xr:uid="{00000000-0005-0000-0000-000034020000}"/>
    <cellStyle name="20% - Énfasis6 7 2" xfId="2361" xr:uid="{00000000-0005-0000-0000-000035020000}"/>
    <cellStyle name="20% - Énfasis6 8" xfId="281" xr:uid="{00000000-0005-0000-0000-000036020000}"/>
    <cellStyle name="20% - Énfasis6 8 2" xfId="2362" xr:uid="{00000000-0005-0000-0000-000037020000}"/>
    <cellStyle name="20% - Énfasis6 9" xfId="282" xr:uid="{00000000-0005-0000-0000-000038020000}"/>
    <cellStyle name="20% - Énfasis6 9 2" xfId="2363" xr:uid="{00000000-0005-0000-0000-000039020000}"/>
    <cellStyle name="40% - Énfasis1" xfId="2060" builtinId="31" customBuiltin="1"/>
    <cellStyle name="40% - Énfasis1 1" xfId="283" xr:uid="{00000000-0005-0000-0000-00003B020000}"/>
    <cellStyle name="40% - Énfasis1 1 2" xfId="2364" xr:uid="{00000000-0005-0000-0000-00003C020000}"/>
    <cellStyle name="40% - Énfasis1 10" xfId="284" xr:uid="{00000000-0005-0000-0000-00003D020000}"/>
    <cellStyle name="40% - Énfasis1 10 2" xfId="2365" xr:uid="{00000000-0005-0000-0000-00003E020000}"/>
    <cellStyle name="40% - Énfasis1 11" xfId="285" xr:uid="{00000000-0005-0000-0000-00003F020000}"/>
    <cellStyle name="40% - Énfasis1 11 2" xfId="2366" xr:uid="{00000000-0005-0000-0000-000040020000}"/>
    <cellStyle name="40% - Énfasis1 12" xfId="286" xr:uid="{00000000-0005-0000-0000-000041020000}"/>
    <cellStyle name="40% - Énfasis1 12 2" xfId="2367" xr:uid="{00000000-0005-0000-0000-000042020000}"/>
    <cellStyle name="40% - Énfasis1 13" xfId="287" xr:uid="{00000000-0005-0000-0000-000043020000}"/>
    <cellStyle name="40% - Énfasis1 13 2" xfId="2368" xr:uid="{00000000-0005-0000-0000-000044020000}"/>
    <cellStyle name="40% - Énfasis1 14" xfId="288" xr:uid="{00000000-0005-0000-0000-000045020000}"/>
    <cellStyle name="40% - Énfasis1 14 2" xfId="2369" xr:uid="{00000000-0005-0000-0000-000046020000}"/>
    <cellStyle name="40% - Énfasis1 15" xfId="289" xr:uid="{00000000-0005-0000-0000-000047020000}"/>
    <cellStyle name="40% - Énfasis1 15 2" xfId="2370" xr:uid="{00000000-0005-0000-0000-000048020000}"/>
    <cellStyle name="40% - Énfasis1 16" xfId="290" xr:uid="{00000000-0005-0000-0000-000049020000}"/>
    <cellStyle name="40% - Énfasis1 16 2" xfId="2371" xr:uid="{00000000-0005-0000-0000-00004A020000}"/>
    <cellStyle name="40% - Énfasis1 17" xfId="291" xr:uid="{00000000-0005-0000-0000-00004B020000}"/>
    <cellStyle name="40% - Énfasis1 17 2" xfId="2372" xr:uid="{00000000-0005-0000-0000-00004C020000}"/>
    <cellStyle name="40% - Énfasis1 18" xfId="292" xr:uid="{00000000-0005-0000-0000-00004D020000}"/>
    <cellStyle name="40% - Énfasis1 18 2" xfId="2373" xr:uid="{00000000-0005-0000-0000-00004E020000}"/>
    <cellStyle name="40% - Énfasis1 19" xfId="293" xr:uid="{00000000-0005-0000-0000-00004F020000}"/>
    <cellStyle name="40% - Énfasis1 19 2" xfId="2374" xr:uid="{00000000-0005-0000-0000-000050020000}"/>
    <cellStyle name="40% - Énfasis1 2" xfId="294" xr:uid="{00000000-0005-0000-0000-000051020000}"/>
    <cellStyle name="40% - Énfasis1 2 2" xfId="2375" xr:uid="{00000000-0005-0000-0000-000052020000}"/>
    <cellStyle name="40% - Énfasis1 20" xfId="295" xr:uid="{00000000-0005-0000-0000-000053020000}"/>
    <cellStyle name="40% - Énfasis1 20 2" xfId="2376" xr:uid="{00000000-0005-0000-0000-000054020000}"/>
    <cellStyle name="40% - Énfasis1 21" xfId="296" xr:uid="{00000000-0005-0000-0000-000055020000}"/>
    <cellStyle name="40% - Énfasis1 21 2" xfId="2377" xr:uid="{00000000-0005-0000-0000-000056020000}"/>
    <cellStyle name="40% - Énfasis1 22" xfId="297" xr:uid="{00000000-0005-0000-0000-000057020000}"/>
    <cellStyle name="40% - Énfasis1 22 2" xfId="2378" xr:uid="{00000000-0005-0000-0000-000058020000}"/>
    <cellStyle name="40% - Énfasis1 23" xfId="298" xr:uid="{00000000-0005-0000-0000-000059020000}"/>
    <cellStyle name="40% - Énfasis1 23 2" xfId="2379" xr:uid="{00000000-0005-0000-0000-00005A020000}"/>
    <cellStyle name="40% - Énfasis1 24" xfId="299" xr:uid="{00000000-0005-0000-0000-00005B020000}"/>
    <cellStyle name="40% - Énfasis1 24 2" xfId="2380" xr:uid="{00000000-0005-0000-0000-00005C020000}"/>
    <cellStyle name="40% - Énfasis1 25" xfId="300" xr:uid="{00000000-0005-0000-0000-00005D020000}"/>
    <cellStyle name="40% - Énfasis1 25 2" xfId="2381" xr:uid="{00000000-0005-0000-0000-00005E020000}"/>
    <cellStyle name="40% - Énfasis1 26" xfId="301" xr:uid="{00000000-0005-0000-0000-00005F020000}"/>
    <cellStyle name="40% - Énfasis1 26 2" xfId="2382" xr:uid="{00000000-0005-0000-0000-000060020000}"/>
    <cellStyle name="40% - Énfasis1 27" xfId="302" xr:uid="{00000000-0005-0000-0000-000061020000}"/>
    <cellStyle name="40% - Énfasis1 27 2" xfId="2383" xr:uid="{00000000-0005-0000-0000-000062020000}"/>
    <cellStyle name="40% - Énfasis1 28" xfId="303" xr:uid="{00000000-0005-0000-0000-000063020000}"/>
    <cellStyle name="40% - Énfasis1 28 2" xfId="2384" xr:uid="{00000000-0005-0000-0000-000064020000}"/>
    <cellStyle name="40% - Énfasis1 29" xfId="304" xr:uid="{00000000-0005-0000-0000-000065020000}"/>
    <cellStyle name="40% - Énfasis1 29 2" xfId="2385" xr:uid="{00000000-0005-0000-0000-000066020000}"/>
    <cellStyle name="40% - Énfasis1 3" xfId="305" xr:uid="{00000000-0005-0000-0000-000067020000}"/>
    <cellStyle name="40% - Énfasis1 3 2" xfId="2386" xr:uid="{00000000-0005-0000-0000-000068020000}"/>
    <cellStyle name="40% - Énfasis1 30" xfId="306" xr:uid="{00000000-0005-0000-0000-000069020000}"/>
    <cellStyle name="40% - Énfasis1 30 2" xfId="2387" xr:uid="{00000000-0005-0000-0000-00006A020000}"/>
    <cellStyle name="40% - Énfasis1 31" xfId="307" xr:uid="{00000000-0005-0000-0000-00006B020000}"/>
    <cellStyle name="40% - Énfasis1 31 2" xfId="2388" xr:uid="{00000000-0005-0000-0000-00006C020000}"/>
    <cellStyle name="40% - Énfasis1 32" xfId="308" xr:uid="{00000000-0005-0000-0000-00006D020000}"/>
    <cellStyle name="40% - Énfasis1 32 2" xfId="2389" xr:uid="{00000000-0005-0000-0000-00006E020000}"/>
    <cellStyle name="40% - Énfasis1 33" xfId="309" xr:uid="{00000000-0005-0000-0000-00006F020000}"/>
    <cellStyle name="40% - Énfasis1 33 2" xfId="2390" xr:uid="{00000000-0005-0000-0000-000070020000}"/>
    <cellStyle name="40% - Énfasis1 34" xfId="310" xr:uid="{00000000-0005-0000-0000-000071020000}"/>
    <cellStyle name="40% - Énfasis1 34 2" xfId="2391" xr:uid="{00000000-0005-0000-0000-000072020000}"/>
    <cellStyle name="40% - Énfasis1 35" xfId="311" xr:uid="{00000000-0005-0000-0000-000073020000}"/>
    <cellStyle name="40% - Énfasis1 35 2" xfId="2392" xr:uid="{00000000-0005-0000-0000-000074020000}"/>
    <cellStyle name="40% - Énfasis1 36" xfId="312" xr:uid="{00000000-0005-0000-0000-000075020000}"/>
    <cellStyle name="40% - Énfasis1 36 2" xfId="2393" xr:uid="{00000000-0005-0000-0000-000076020000}"/>
    <cellStyle name="40% - Énfasis1 37" xfId="313" xr:uid="{00000000-0005-0000-0000-000077020000}"/>
    <cellStyle name="40% - Énfasis1 37 2" xfId="2394" xr:uid="{00000000-0005-0000-0000-000078020000}"/>
    <cellStyle name="40% - Énfasis1 38" xfId="314" xr:uid="{00000000-0005-0000-0000-000079020000}"/>
    <cellStyle name="40% - Énfasis1 38 2" xfId="2395" xr:uid="{00000000-0005-0000-0000-00007A020000}"/>
    <cellStyle name="40% - Énfasis1 39" xfId="315" xr:uid="{00000000-0005-0000-0000-00007B020000}"/>
    <cellStyle name="40% - Énfasis1 39 2" xfId="2396" xr:uid="{00000000-0005-0000-0000-00007C020000}"/>
    <cellStyle name="40% - Énfasis1 4" xfId="316" xr:uid="{00000000-0005-0000-0000-00007D020000}"/>
    <cellStyle name="40% - Énfasis1 4 2" xfId="2397" xr:uid="{00000000-0005-0000-0000-00007E020000}"/>
    <cellStyle name="40% - Énfasis1 40" xfId="317" xr:uid="{00000000-0005-0000-0000-00007F020000}"/>
    <cellStyle name="40% - Énfasis1 40 2" xfId="2398" xr:uid="{00000000-0005-0000-0000-000080020000}"/>
    <cellStyle name="40% - Énfasis1 41" xfId="318" xr:uid="{00000000-0005-0000-0000-000081020000}"/>
    <cellStyle name="40% - Énfasis1 41 2" xfId="2399" xr:uid="{00000000-0005-0000-0000-000082020000}"/>
    <cellStyle name="40% - Énfasis1 42" xfId="319" xr:uid="{00000000-0005-0000-0000-000083020000}"/>
    <cellStyle name="40% - Énfasis1 42 2" xfId="2400" xr:uid="{00000000-0005-0000-0000-000084020000}"/>
    <cellStyle name="40% - Énfasis1 43" xfId="320" xr:uid="{00000000-0005-0000-0000-000085020000}"/>
    <cellStyle name="40% - Énfasis1 43 2" xfId="2401" xr:uid="{00000000-0005-0000-0000-000086020000}"/>
    <cellStyle name="40% - Énfasis1 44" xfId="321" xr:uid="{00000000-0005-0000-0000-000087020000}"/>
    <cellStyle name="40% - Énfasis1 44 2" xfId="2402" xr:uid="{00000000-0005-0000-0000-000088020000}"/>
    <cellStyle name="40% - Énfasis1 45" xfId="322" xr:uid="{00000000-0005-0000-0000-000089020000}"/>
    <cellStyle name="40% - Énfasis1 45 2" xfId="2403" xr:uid="{00000000-0005-0000-0000-00008A020000}"/>
    <cellStyle name="40% - Énfasis1 46" xfId="323" xr:uid="{00000000-0005-0000-0000-00008B020000}"/>
    <cellStyle name="40% - Énfasis1 46 2" xfId="2404" xr:uid="{00000000-0005-0000-0000-00008C020000}"/>
    <cellStyle name="40% - Énfasis1 47" xfId="324" xr:uid="{00000000-0005-0000-0000-00008D020000}"/>
    <cellStyle name="40% - Énfasis1 47 2" xfId="2405" xr:uid="{00000000-0005-0000-0000-00008E020000}"/>
    <cellStyle name="40% - Énfasis1 5" xfId="325" xr:uid="{00000000-0005-0000-0000-00008F020000}"/>
    <cellStyle name="40% - Énfasis1 5 2" xfId="2406" xr:uid="{00000000-0005-0000-0000-000090020000}"/>
    <cellStyle name="40% - Énfasis1 6" xfId="326" xr:uid="{00000000-0005-0000-0000-000091020000}"/>
    <cellStyle name="40% - Énfasis1 6 2" xfId="2407" xr:uid="{00000000-0005-0000-0000-000092020000}"/>
    <cellStyle name="40% - Énfasis1 7" xfId="327" xr:uid="{00000000-0005-0000-0000-000093020000}"/>
    <cellStyle name="40% - Énfasis1 7 2" xfId="2408" xr:uid="{00000000-0005-0000-0000-000094020000}"/>
    <cellStyle name="40% - Énfasis1 8" xfId="328" xr:uid="{00000000-0005-0000-0000-000095020000}"/>
    <cellStyle name="40% - Énfasis1 8 2" xfId="2409" xr:uid="{00000000-0005-0000-0000-000096020000}"/>
    <cellStyle name="40% - Énfasis1 9" xfId="329" xr:uid="{00000000-0005-0000-0000-000097020000}"/>
    <cellStyle name="40% - Énfasis1 9 2" xfId="2410" xr:uid="{00000000-0005-0000-0000-000098020000}"/>
    <cellStyle name="40% - Énfasis2" xfId="2064" builtinId="35" customBuiltin="1"/>
    <cellStyle name="40% - Énfasis2 1" xfId="330" xr:uid="{00000000-0005-0000-0000-00009A020000}"/>
    <cellStyle name="40% - Énfasis2 1 2" xfId="2411" xr:uid="{00000000-0005-0000-0000-00009B020000}"/>
    <cellStyle name="40% - Énfasis2 10" xfId="331" xr:uid="{00000000-0005-0000-0000-00009C020000}"/>
    <cellStyle name="40% - Énfasis2 10 2" xfId="2412" xr:uid="{00000000-0005-0000-0000-00009D020000}"/>
    <cellStyle name="40% - Énfasis2 11" xfId="332" xr:uid="{00000000-0005-0000-0000-00009E020000}"/>
    <cellStyle name="40% - Énfasis2 11 2" xfId="2413" xr:uid="{00000000-0005-0000-0000-00009F020000}"/>
    <cellStyle name="40% - Énfasis2 12" xfId="333" xr:uid="{00000000-0005-0000-0000-0000A0020000}"/>
    <cellStyle name="40% - Énfasis2 12 2" xfId="2414" xr:uid="{00000000-0005-0000-0000-0000A1020000}"/>
    <cellStyle name="40% - Énfasis2 13" xfId="334" xr:uid="{00000000-0005-0000-0000-0000A2020000}"/>
    <cellStyle name="40% - Énfasis2 13 2" xfId="2415" xr:uid="{00000000-0005-0000-0000-0000A3020000}"/>
    <cellStyle name="40% - Énfasis2 14" xfId="335" xr:uid="{00000000-0005-0000-0000-0000A4020000}"/>
    <cellStyle name="40% - Énfasis2 14 2" xfId="2416" xr:uid="{00000000-0005-0000-0000-0000A5020000}"/>
    <cellStyle name="40% - Énfasis2 15" xfId="336" xr:uid="{00000000-0005-0000-0000-0000A6020000}"/>
    <cellStyle name="40% - Énfasis2 15 2" xfId="2417" xr:uid="{00000000-0005-0000-0000-0000A7020000}"/>
    <cellStyle name="40% - Énfasis2 16" xfId="337" xr:uid="{00000000-0005-0000-0000-0000A8020000}"/>
    <cellStyle name="40% - Énfasis2 16 2" xfId="2418" xr:uid="{00000000-0005-0000-0000-0000A9020000}"/>
    <cellStyle name="40% - Énfasis2 17" xfId="338" xr:uid="{00000000-0005-0000-0000-0000AA020000}"/>
    <cellStyle name="40% - Énfasis2 17 2" xfId="2419" xr:uid="{00000000-0005-0000-0000-0000AB020000}"/>
    <cellStyle name="40% - Énfasis2 18" xfId="339" xr:uid="{00000000-0005-0000-0000-0000AC020000}"/>
    <cellStyle name="40% - Énfasis2 18 2" xfId="2420" xr:uid="{00000000-0005-0000-0000-0000AD020000}"/>
    <cellStyle name="40% - Énfasis2 19" xfId="340" xr:uid="{00000000-0005-0000-0000-0000AE020000}"/>
    <cellStyle name="40% - Énfasis2 19 2" xfId="2421" xr:uid="{00000000-0005-0000-0000-0000AF020000}"/>
    <cellStyle name="40% - Énfasis2 2" xfId="341" xr:uid="{00000000-0005-0000-0000-0000B0020000}"/>
    <cellStyle name="40% - Énfasis2 2 2" xfId="2422" xr:uid="{00000000-0005-0000-0000-0000B1020000}"/>
    <cellStyle name="40% - Énfasis2 20" xfId="342" xr:uid="{00000000-0005-0000-0000-0000B2020000}"/>
    <cellStyle name="40% - Énfasis2 20 2" xfId="2423" xr:uid="{00000000-0005-0000-0000-0000B3020000}"/>
    <cellStyle name="40% - Énfasis2 21" xfId="343" xr:uid="{00000000-0005-0000-0000-0000B4020000}"/>
    <cellStyle name="40% - Énfasis2 21 2" xfId="2424" xr:uid="{00000000-0005-0000-0000-0000B5020000}"/>
    <cellStyle name="40% - Énfasis2 22" xfId="344" xr:uid="{00000000-0005-0000-0000-0000B6020000}"/>
    <cellStyle name="40% - Énfasis2 22 2" xfId="2425" xr:uid="{00000000-0005-0000-0000-0000B7020000}"/>
    <cellStyle name="40% - Énfasis2 23" xfId="345" xr:uid="{00000000-0005-0000-0000-0000B8020000}"/>
    <cellStyle name="40% - Énfasis2 23 2" xfId="2426" xr:uid="{00000000-0005-0000-0000-0000B9020000}"/>
    <cellStyle name="40% - Énfasis2 24" xfId="346" xr:uid="{00000000-0005-0000-0000-0000BA020000}"/>
    <cellStyle name="40% - Énfasis2 24 2" xfId="2427" xr:uid="{00000000-0005-0000-0000-0000BB020000}"/>
    <cellStyle name="40% - Énfasis2 25" xfId="347" xr:uid="{00000000-0005-0000-0000-0000BC020000}"/>
    <cellStyle name="40% - Énfasis2 25 2" xfId="2428" xr:uid="{00000000-0005-0000-0000-0000BD020000}"/>
    <cellStyle name="40% - Énfasis2 26" xfId="348" xr:uid="{00000000-0005-0000-0000-0000BE020000}"/>
    <cellStyle name="40% - Énfasis2 26 2" xfId="2429" xr:uid="{00000000-0005-0000-0000-0000BF020000}"/>
    <cellStyle name="40% - Énfasis2 27" xfId="349" xr:uid="{00000000-0005-0000-0000-0000C0020000}"/>
    <cellStyle name="40% - Énfasis2 27 2" xfId="2430" xr:uid="{00000000-0005-0000-0000-0000C1020000}"/>
    <cellStyle name="40% - Énfasis2 28" xfId="350" xr:uid="{00000000-0005-0000-0000-0000C2020000}"/>
    <cellStyle name="40% - Énfasis2 28 2" xfId="2431" xr:uid="{00000000-0005-0000-0000-0000C3020000}"/>
    <cellStyle name="40% - Énfasis2 29" xfId="351" xr:uid="{00000000-0005-0000-0000-0000C4020000}"/>
    <cellStyle name="40% - Énfasis2 29 2" xfId="2432" xr:uid="{00000000-0005-0000-0000-0000C5020000}"/>
    <cellStyle name="40% - Énfasis2 3" xfId="352" xr:uid="{00000000-0005-0000-0000-0000C6020000}"/>
    <cellStyle name="40% - Énfasis2 3 2" xfId="2433" xr:uid="{00000000-0005-0000-0000-0000C7020000}"/>
    <cellStyle name="40% - Énfasis2 30" xfId="353" xr:uid="{00000000-0005-0000-0000-0000C8020000}"/>
    <cellStyle name="40% - Énfasis2 30 2" xfId="2434" xr:uid="{00000000-0005-0000-0000-0000C9020000}"/>
    <cellStyle name="40% - Énfasis2 31" xfId="354" xr:uid="{00000000-0005-0000-0000-0000CA020000}"/>
    <cellStyle name="40% - Énfasis2 31 2" xfId="2435" xr:uid="{00000000-0005-0000-0000-0000CB020000}"/>
    <cellStyle name="40% - Énfasis2 32" xfId="355" xr:uid="{00000000-0005-0000-0000-0000CC020000}"/>
    <cellStyle name="40% - Énfasis2 32 2" xfId="2436" xr:uid="{00000000-0005-0000-0000-0000CD020000}"/>
    <cellStyle name="40% - Énfasis2 33" xfId="356" xr:uid="{00000000-0005-0000-0000-0000CE020000}"/>
    <cellStyle name="40% - Énfasis2 33 2" xfId="2437" xr:uid="{00000000-0005-0000-0000-0000CF020000}"/>
    <cellStyle name="40% - Énfasis2 34" xfId="357" xr:uid="{00000000-0005-0000-0000-0000D0020000}"/>
    <cellStyle name="40% - Énfasis2 34 2" xfId="2438" xr:uid="{00000000-0005-0000-0000-0000D1020000}"/>
    <cellStyle name="40% - Énfasis2 35" xfId="358" xr:uid="{00000000-0005-0000-0000-0000D2020000}"/>
    <cellStyle name="40% - Énfasis2 35 2" xfId="2439" xr:uid="{00000000-0005-0000-0000-0000D3020000}"/>
    <cellStyle name="40% - Énfasis2 36" xfId="359" xr:uid="{00000000-0005-0000-0000-0000D4020000}"/>
    <cellStyle name="40% - Énfasis2 36 2" xfId="2440" xr:uid="{00000000-0005-0000-0000-0000D5020000}"/>
    <cellStyle name="40% - Énfasis2 37" xfId="360" xr:uid="{00000000-0005-0000-0000-0000D6020000}"/>
    <cellStyle name="40% - Énfasis2 37 2" xfId="2441" xr:uid="{00000000-0005-0000-0000-0000D7020000}"/>
    <cellStyle name="40% - Énfasis2 38" xfId="361" xr:uid="{00000000-0005-0000-0000-0000D8020000}"/>
    <cellStyle name="40% - Énfasis2 38 2" xfId="2442" xr:uid="{00000000-0005-0000-0000-0000D9020000}"/>
    <cellStyle name="40% - Énfasis2 39" xfId="362" xr:uid="{00000000-0005-0000-0000-0000DA020000}"/>
    <cellStyle name="40% - Énfasis2 39 2" xfId="2443" xr:uid="{00000000-0005-0000-0000-0000DB020000}"/>
    <cellStyle name="40% - Énfasis2 4" xfId="363" xr:uid="{00000000-0005-0000-0000-0000DC020000}"/>
    <cellStyle name="40% - Énfasis2 4 2" xfId="2444" xr:uid="{00000000-0005-0000-0000-0000DD020000}"/>
    <cellStyle name="40% - Énfasis2 40" xfId="364" xr:uid="{00000000-0005-0000-0000-0000DE020000}"/>
    <cellStyle name="40% - Énfasis2 40 2" xfId="2445" xr:uid="{00000000-0005-0000-0000-0000DF020000}"/>
    <cellStyle name="40% - Énfasis2 41" xfId="365" xr:uid="{00000000-0005-0000-0000-0000E0020000}"/>
    <cellStyle name="40% - Énfasis2 41 2" xfId="2446" xr:uid="{00000000-0005-0000-0000-0000E1020000}"/>
    <cellStyle name="40% - Énfasis2 42" xfId="366" xr:uid="{00000000-0005-0000-0000-0000E2020000}"/>
    <cellStyle name="40% - Énfasis2 42 2" xfId="2447" xr:uid="{00000000-0005-0000-0000-0000E3020000}"/>
    <cellStyle name="40% - Énfasis2 43" xfId="367" xr:uid="{00000000-0005-0000-0000-0000E4020000}"/>
    <cellStyle name="40% - Énfasis2 43 2" xfId="2448" xr:uid="{00000000-0005-0000-0000-0000E5020000}"/>
    <cellStyle name="40% - Énfasis2 44" xfId="368" xr:uid="{00000000-0005-0000-0000-0000E6020000}"/>
    <cellStyle name="40% - Énfasis2 44 2" xfId="2449" xr:uid="{00000000-0005-0000-0000-0000E7020000}"/>
    <cellStyle name="40% - Énfasis2 45" xfId="369" xr:uid="{00000000-0005-0000-0000-0000E8020000}"/>
    <cellStyle name="40% - Énfasis2 45 2" xfId="2450" xr:uid="{00000000-0005-0000-0000-0000E9020000}"/>
    <cellStyle name="40% - Énfasis2 46" xfId="370" xr:uid="{00000000-0005-0000-0000-0000EA020000}"/>
    <cellStyle name="40% - Énfasis2 46 2" xfId="2451" xr:uid="{00000000-0005-0000-0000-0000EB020000}"/>
    <cellStyle name="40% - Énfasis2 47" xfId="371" xr:uid="{00000000-0005-0000-0000-0000EC020000}"/>
    <cellStyle name="40% - Énfasis2 47 2" xfId="2452" xr:uid="{00000000-0005-0000-0000-0000ED020000}"/>
    <cellStyle name="40% - Énfasis2 5" xfId="372" xr:uid="{00000000-0005-0000-0000-0000EE020000}"/>
    <cellStyle name="40% - Énfasis2 5 2" xfId="2453" xr:uid="{00000000-0005-0000-0000-0000EF020000}"/>
    <cellStyle name="40% - Énfasis2 6" xfId="373" xr:uid="{00000000-0005-0000-0000-0000F0020000}"/>
    <cellStyle name="40% - Énfasis2 6 2" xfId="2454" xr:uid="{00000000-0005-0000-0000-0000F1020000}"/>
    <cellStyle name="40% - Énfasis2 7" xfId="374" xr:uid="{00000000-0005-0000-0000-0000F2020000}"/>
    <cellStyle name="40% - Énfasis2 7 2" xfId="2455" xr:uid="{00000000-0005-0000-0000-0000F3020000}"/>
    <cellStyle name="40% - Énfasis2 8" xfId="375" xr:uid="{00000000-0005-0000-0000-0000F4020000}"/>
    <cellStyle name="40% - Énfasis2 8 2" xfId="2456" xr:uid="{00000000-0005-0000-0000-0000F5020000}"/>
    <cellStyle name="40% - Énfasis2 9" xfId="376" xr:uid="{00000000-0005-0000-0000-0000F6020000}"/>
    <cellStyle name="40% - Énfasis2 9 2" xfId="2457" xr:uid="{00000000-0005-0000-0000-0000F7020000}"/>
    <cellStyle name="40% - Énfasis3" xfId="2068" builtinId="39" customBuiltin="1"/>
    <cellStyle name="40% - Énfasis3 1" xfId="377" xr:uid="{00000000-0005-0000-0000-0000F9020000}"/>
    <cellStyle name="40% - Énfasis3 1 2" xfId="2458" xr:uid="{00000000-0005-0000-0000-0000FA020000}"/>
    <cellStyle name="40% - Énfasis3 10" xfId="378" xr:uid="{00000000-0005-0000-0000-0000FB020000}"/>
    <cellStyle name="40% - Énfasis3 10 2" xfId="2459" xr:uid="{00000000-0005-0000-0000-0000FC020000}"/>
    <cellStyle name="40% - Énfasis3 11" xfId="379" xr:uid="{00000000-0005-0000-0000-0000FD020000}"/>
    <cellStyle name="40% - Énfasis3 11 2" xfId="2460" xr:uid="{00000000-0005-0000-0000-0000FE020000}"/>
    <cellStyle name="40% - Énfasis3 12" xfId="380" xr:uid="{00000000-0005-0000-0000-0000FF020000}"/>
    <cellStyle name="40% - Énfasis3 12 2" xfId="2461" xr:uid="{00000000-0005-0000-0000-000000030000}"/>
    <cellStyle name="40% - Énfasis3 13" xfId="381" xr:uid="{00000000-0005-0000-0000-000001030000}"/>
    <cellStyle name="40% - Énfasis3 13 2" xfId="2462" xr:uid="{00000000-0005-0000-0000-000002030000}"/>
    <cellStyle name="40% - Énfasis3 14" xfId="382" xr:uid="{00000000-0005-0000-0000-000003030000}"/>
    <cellStyle name="40% - Énfasis3 14 2" xfId="2463" xr:uid="{00000000-0005-0000-0000-000004030000}"/>
    <cellStyle name="40% - Énfasis3 15" xfId="383" xr:uid="{00000000-0005-0000-0000-000005030000}"/>
    <cellStyle name="40% - Énfasis3 15 2" xfId="2464" xr:uid="{00000000-0005-0000-0000-000006030000}"/>
    <cellStyle name="40% - Énfasis3 16" xfId="384" xr:uid="{00000000-0005-0000-0000-000007030000}"/>
    <cellStyle name="40% - Énfasis3 16 2" xfId="2465" xr:uid="{00000000-0005-0000-0000-000008030000}"/>
    <cellStyle name="40% - Énfasis3 17" xfId="385" xr:uid="{00000000-0005-0000-0000-000009030000}"/>
    <cellStyle name="40% - Énfasis3 17 2" xfId="2466" xr:uid="{00000000-0005-0000-0000-00000A030000}"/>
    <cellStyle name="40% - Énfasis3 18" xfId="386" xr:uid="{00000000-0005-0000-0000-00000B030000}"/>
    <cellStyle name="40% - Énfasis3 18 2" xfId="2467" xr:uid="{00000000-0005-0000-0000-00000C030000}"/>
    <cellStyle name="40% - Énfasis3 19" xfId="387" xr:uid="{00000000-0005-0000-0000-00000D030000}"/>
    <cellStyle name="40% - Énfasis3 19 2" xfId="2468" xr:uid="{00000000-0005-0000-0000-00000E030000}"/>
    <cellStyle name="40% - Énfasis3 2" xfId="388" xr:uid="{00000000-0005-0000-0000-00000F030000}"/>
    <cellStyle name="40% - Énfasis3 2 2" xfId="2469" xr:uid="{00000000-0005-0000-0000-000010030000}"/>
    <cellStyle name="40% - Énfasis3 20" xfId="389" xr:uid="{00000000-0005-0000-0000-000011030000}"/>
    <cellStyle name="40% - Énfasis3 20 2" xfId="2470" xr:uid="{00000000-0005-0000-0000-000012030000}"/>
    <cellStyle name="40% - Énfasis3 21" xfId="390" xr:uid="{00000000-0005-0000-0000-000013030000}"/>
    <cellStyle name="40% - Énfasis3 21 2" xfId="2471" xr:uid="{00000000-0005-0000-0000-000014030000}"/>
    <cellStyle name="40% - Énfasis3 22" xfId="391" xr:uid="{00000000-0005-0000-0000-000015030000}"/>
    <cellStyle name="40% - Énfasis3 22 2" xfId="2472" xr:uid="{00000000-0005-0000-0000-000016030000}"/>
    <cellStyle name="40% - Énfasis3 23" xfId="392" xr:uid="{00000000-0005-0000-0000-000017030000}"/>
    <cellStyle name="40% - Énfasis3 23 2" xfId="2473" xr:uid="{00000000-0005-0000-0000-000018030000}"/>
    <cellStyle name="40% - Énfasis3 24" xfId="393" xr:uid="{00000000-0005-0000-0000-000019030000}"/>
    <cellStyle name="40% - Énfasis3 24 2" xfId="2474" xr:uid="{00000000-0005-0000-0000-00001A030000}"/>
    <cellStyle name="40% - Énfasis3 25" xfId="394" xr:uid="{00000000-0005-0000-0000-00001B030000}"/>
    <cellStyle name="40% - Énfasis3 25 2" xfId="2475" xr:uid="{00000000-0005-0000-0000-00001C030000}"/>
    <cellStyle name="40% - Énfasis3 26" xfId="395" xr:uid="{00000000-0005-0000-0000-00001D030000}"/>
    <cellStyle name="40% - Énfasis3 26 2" xfId="2476" xr:uid="{00000000-0005-0000-0000-00001E030000}"/>
    <cellStyle name="40% - Énfasis3 27" xfId="396" xr:uid="{00000000-0005-0000-0000-00001F030000}"/>
    <cellStyle name="40% - Énfasis3 27 2" xfId="2477" xr:uid="{00000000-0005-0000-0000-000020030000}"/>
    <cellStyle name="40% - Énfasis3 28" xfId="397" xr:uid="{00000000-0005-0000-0000-000021030000}"/>
    <cellStyle name="40% - Énfasis3 28 2" xfId="2478" xr:uid="{00000000-0005-0000-0000-000022030000}"/>
    <cellStyle name="40% - Énfasis3 29" xfId="398" xr:uid="{00000000-0005-0000-0000-000023030000}"/>
    <cellStyle name="40% - Énfasis3 29 2" xfId="2479" xr:uid="{00000000-0005-0000-0000-000024030000}"/>
    <cellStyle name="40% - Énfasis3 3" xfId="399" xr:uid="{00000000-0005-0000-0000-000025030000}"/>
    <cellStyle name="40% - Énfasis3 3 2" xfId="2480" xr:uid="{00000000-0005-0000-0000-000026030000}"/>
    <cellStyle name="40% - Énfasis3 30" xfId="400" xr:uid="{00000000-0005-0000-0000-000027030000}"/>
    <cellStyle name="40% - Énfasis3 30 2" xfId="2481" xr:uid="{00000000-0005-0000-0000-000028030000}"/>
    <cellStyle name="40% - Énfasis3 31" xfId="401" xr:uid="{00000000-0005-0000-0000-000029030000}"/>
    <cellStyle name="40% - Énfasis3 31 2" xfId="2482" xr:uid="{00000000-0005-0000-0000-00002A030000}"/>
    <cellStyle name="40% - Énfasis3 32" xfId="402" xr:uid="{00000000-0005-0000-0000-00002B030000}"/>
    <cellStyle name="40% - Énfasis3 32 2" xfId="2483" xr:uid="{00000000-0005-0000-0000-00002C030000}"/>
    <cellStyle name="40% - Énfasis3 33" xfId="403" xr:uid="{00000000-0005-0000-0000-00002D030000}"/>
    <cellStyle name="40% - Énfasis3 33 2" xfId="2484" xr:uid="{00000000-0005-0000-0000-00002E030000}"/>
    <cellStyle name="40% - Énfasis3 34" xfId="404" xr:uid="{00000000-0005-0000-0000-00002F030000}"/>
    <cellStyle name="40% - Énfasis3 34 2" xfId="2485" xr:uid="{00000000-0005-0000-0000-000030030000}"/>
    <cellStyle name="40% - Énfasis3 35" xfId="405" xr:uid="{00000000-0005-0000-0000-000031030000}"/>
    <cellStyle name="40% - Énfasis3 35 2" xfId="2486" xr:uid="{00000000-0005-0000-0000-000032030000}"/>
    <cellStyle name="40% - Énfasis3 36" xfId="406" xr:uid="{00000000-0005-0000-0000-000033030000}"/>
    <cellStyle name="40% - Énfasis3 36 2" xfId="2487" xr:uid="{00000000-0005-0000-0000-000034030000}"/>
    <cellStyle name="40% - Énfasis3 37" xfId="407" xr:uid="{00000000-0005-0000-0000-000035030000}"/>
    <cellStyle name="40% - Énfasis3 37 2" xfId="2488" xr:uid="{00000000-0005-0000-0000-000036030000}"/>
    <cellStyle name="40% - Énfasis3 38" xfId="408" xr:uid="{00000000-0005-0000-0000-000037030000}"/>
    <cellStyle name="40% - Énfasis3 38 2" xfId="2489" xr:uid="{00000000-0005-0000-0000-000038030000}"/>
    <cellStyle name="40% - Énfasis3 39" xfId="409" xr:uid="{00000000-0005-0000-0000-000039030000}"/>
    <cellStyle name="40% - Énfasis3 39 2" xfId="2490" xr:uid="{00000000-0005-0000-0000-00003A030000}"/>
    <cellStyle name="40% - Énfasis3 4" xfId="410" xr:uid="{00000000-0005-0000-0000-00003B030000}"/>
    <cellStyle name="40% - Énfasis3 4 2" xfId="2491" xr:uid="{00000000-0005-0000-0000-00003C030000}"/>
    <cellStyle name="40% - Énfasis3 40" xfId="411" xr:uid="{00000000-0005-0000-0000-00003D030000}"/>
    <cellStyle name="40% - Énfasis3 40 2" xfId="2492" xr:uid="{00000000-0005-0000-0000-00003E030000}"/>
    <cellStyle name="40% - Énfasis3 41" xfId="412" xr:uid="{00000000-0005-0000-0000-00003F030000}"/>
    <cellStyle name="40% - Énfasis3 41 2" xfId="2493" xr:uid="{00000000-0005-0000-0000-000040030000}"/>
    <cellStyle name="40% - Énfasis3 42" xfId="413" xr:uid="{00000000-0005-0000-0000-000041030000}"/>
    <cellStyle name="40% - Énfasis3 42 2" xfId="2494" xr:uid="{00000000-0005-0000-0000-000042030000}"/>
    <cellStyle name="40% - Énfasis3 43" xfId="414" xr:uid="{00000000-0005-0000-0000-000043030000}"/>
    <cellStyle name="40% - Énfasis3 43 2" xfId="2495" xr:uid="{00000000-0005-0000-0000-000044030000}"/>
    <cellStyle name="40% - Énfasis3 44" xfId="415" xr:uid="{00000000-0005-0000-0000-000045030000}"/>
    <cellStyle name="40% - Énfasis3 44 2" xfId="2496" xr:uid="{00000000-0005-0000-0000-000046030000}"/>
    <cellStyle name="40% - Énfasis3 45" xfId="416" xr:uid="{00000000-0005-0000-0000-000047030000}"/>
    <cellStyle name="40% - Énfasis3 45 2" xfId="2497" xr:uid="{00000000-0005-0000-0000-000048030000}"/>
    <cellStyle name="40% - Énfasis3 46" xfId="417" xr:uid="{00000000-0005-0000-0000-000049030000}"/>
    <cellStyle name="40% - Énfasis3 46 2" xfId="2498" xr:uid="{00000000-0005-0000-0000-00004A030000}"/>
    <cellStyle name="40% - Énfasis3 47" xfId="418" xr:uid="{00000000-0005-0000-0000-00004B030000}"/>
    <cellStyle name="40% - Énfasis3 47 2" xfId="2499" xr:uid="{00000000-0005-0000-0000-00004C030000}"/>
    <cellStyle name="40% - Énfasis3 5" xfId="419" xr:uid="{00000000-0005-0000-0000-00004D030000}"/>
    <cellStyle name="40% - Énfasis3 5 2" xfId="2500" xr:uid="{00000000-0005-0000-0000-00004E030000}"/>
    <cellStyle name="40% - Énfasis3 6" xfId="420" xr:uid="{00000000-0005-0000-0000-00004F030000}"/>
    <cellStyle name="40% - Énfasis3 6 2" xfId="2501" xr:uid="{00000000-0005-0000-0000-000050030000}"/>
    <cellStyle name="40% - Énfasis3 7" xfId="421" xr:uid="{00000000-0005-0000-0000-000051030000}"/>
    <cellStyle name="40% - Énfasis3 7 2" xfId="2502" xr:uid="{00000000-0005-0000-0000-000052030000}"/>
    <cellStyle name="40% - Énfasis3 8" xfId="422" xr:uid="{00000000-0005-0000-0000-000053030000}"/>
    <cellStyle name="40% - Énfasis3 8 2" xfId="2503" xr:uid="{00000000-0005-0000-0000-000054030000}"/>
    <cellStyle name="40% - Énfasis3 9" xfId="423" xr:uid="{00000000-0005-0000-0000-000055030000}"/>
    <cellStyle name="40% - Énfasis3 9 2" xfId="2504" xr:uid="{00000000-0005-0000-0000-000056030000}"/>
    <cellStyle name="40% - Énfasis4" xfId="2072" builtinId="43" customBuiltin="1"/>
    <cellStyle name="40% - Énfasis4 1" xfId="424" xr:uid="{00000000-0005-0000-0000-000058030000}"/>
    <cellStyle name="40% - Énfasis4 1 2" xfId="2505" xr:uid="{00000000-0005-0000-0000-000059030000}"/>
    <cellStyle name="40% - Énfasis4 10" xfId="425" xr:uid="{00000000-0005-0000-0000-00005A030000}"/>
    <cellStyle name="40% - Énfasis4 10 2" xfId="2506" xr:uid="{00000000-0005-0000-0000-00005B030000}"/>
    <cellStyle name="40% - Énfasis4 11" xfId="426" xr:uid="{00000000-0005-0000-0000-00005C030000}"/>
    <cellStyle name="40% - Énfasis4 11 2" xfId="2507" xr:uid="{00000000-0005-0000-0000-00005D030000}"/>
    <cellStyle name="40% - Énfasis4 12" xfId="427" xr:uid="{00000000-0005-0000-0000-00005E030000}"/>
    <cellStyle name="40% - Énfasis4 12 2" xfId="2508" xr:uid="{00000000-0005-0000-0000-00005F030000}"/>
    <cellStyle name="40% - Énfasis4 13" xfId="428" xr:uid="{00000000-0005-0000-0000-000060030000}"/>
    <cellStyle name="40% - Énfasis4 13 2" xfId="2509" xr:uid="{00000000-0005-0000-0000-000061030000}"/>
    <cellStyle name="40% - Énfasis4 14" xfId="429" xr:uid="{00000000-0005-0000-0000-000062030000}"/>
    <cellStyle name="40% - Énfasis4 14 2" xfId="2510" xr:uid="{00000000-0005-0000-0000-000063030000}"/>
    <cellStyle name="40% - Énfasis4 15" xfId="430" xr:uid="{00000000-0005-0000-0000-000064030000}"/>
    <cellStyle name="40% - Énfasis4 15 2" xfId="2511" xr:uid="{00000000-0005-0000-0000-000065030000}"/>
    <cellStyle name="40% - Énfasis4 16" xfId="431" xr:uid="{00000000-0005-0000-0000-000066030000}"/>
    <cellStyle name="40% - Énfasis4 16 2" xfId="2512" xr:uid="{00000000-0005-0000-0000-000067030000}"/>
    <cellStyle name="40% - Énfasis4 17" xfId="432" xr:uid="{00000000-0005-0000-0000-000068030000}"/>
    <cellStyle name="40% - Énfasis4 17 2" xfId="2513" xr:uid="{00000000-0005-0000-0000-000069030000}"/>
    <cellStyle name="40% - Énfasis4 18" xfId="433" xr:uid="{00000000-0005-0000-0000-00006A030000}"/>
    <cellStyle name="40% - Énfasis4 18 2" xfId="2514" xr:uid="{00000000-0005-0000-0000-00006B030000}"/>
    <cellStyle name="40% - Énfasis4 19" xfId="434" xr:uid="{00000000-0005-0000-0000-00006C030000}"/>
    <cellStyle name="40% - Énfasis4 19 2" xfId="2515" xr:uid="{00000000-0005-0000-0000-00006D030000}"/>
    <cellStyle name="40% - Énfasis4 2" xfId="435" xr:uid="{00000000-0005-0000-0000-00006E030000}"/>
    <cellStyle name="40% - Énfasis4 2 2" xfId="2516" xr:uid="{00000000-0005-0000-0000-00006F030000}"/>
    <cellStyle name="40% - Énfasis4 20" xfId="436" xr:uid="{00000000-0005-0000-0000-000070030000}"/>
    <cellStyle name="40% - Énfasis4 20 2" xfId="2517" xr:uid="{00000000-0005-0000-0000-000071030000}"/>
    <cellStyle name="40% - Énfasis4 21" xfId="437" xr:uid="{00000000-0005-0000-0000-000072030000}"/>
    <cellStyle name="40% - Énfasis4 21 2" xfId="2518" xr:uid="{00000000-0005-0000-0000-000073030000}"/>
    <cellStyle name="40% - Énfasis4 22" xfId="438" xr:uid="{00000000-0005-0000-0000-000074030000}"/>
    <cellStyle name="40% - Énfasis4 22 2" xfId="2519" xr:uid="{00000000-0005-0000-0000-000075030000}"/>
    <cellStyle name="40% - Énfasis4 23" xfId="439" xr:uid="{00000000-0005-0000-0000-000076030000}"/>
    <cellStyle name="40% - Énfasis4 23 2" xfId="2520" xr:uid="{00000000-0005-0000-0000-000077030000}"/>
    <cellStyle name="40% - Énfasis4 24" xfId="440" xr:uid="{00000000-0005-0000-0000-000078030000}"/>
    <cellStyle name="40% - Énfasis4 24 2" xfId="2521" xr:uid="{00000000-0005-0000-0000-000079030000}"/>
    <cellStyle name="40% - Énfasis4 25" xfId="441" xr:uid="{00000000-0005-0000-0000-00007A030000}"/>
    <cellStyle name="40% - Énfasis4 25 2" xfId="2522" xr:uid="{00000000-0005-0000-0000-00007B030000}"/>
    <cellStyle name="40% - Énfasis4 26" xfId="442" xr:uid="{00000000-0005-0000-0000-00007C030000}"/>
    <cellStyle name="40% - Énfasis4 26 2" xfId="2523" xr:uid="{00000000-0005-0000-0000-00007D030000}"/>
    <cellStyle name="40% - Énfasis4 27" xfId="443" xr:uid="{00000000-0005-0000-0000-00007E030000}"/>
    <cellStyle name="40% - Énfasis4 27 2" xfId="2524" xr:uid="{00000000-0005-0000-0000-00007F030000}"/>
    <cellStyle name="40% - Énfasis4 28" xfId="444" xr:uid="{00000000-0005-0000-0000-000080030000}"/>
    <cellStyle name="40% - Énfasis4 28 2" xfId="2525" xr:uid="{00000000-0005-0000-0000-000081030000}"/>
    <cellStyle name="40% - Énfasis4 29" xfId="445" xr:uid="{00000000-0005-0000-0000-000082030000}"/>
    <cellStyle name="40% - Énfasis4 29 2" xfId="2526" xr:uid="{00000000-0005-0000-0000-000083030000}"/>
    <cellStyle name="40% - Énfasis4 3" xfId="446" xr:uid="{00000000-0005-0000-0000-000084030000}"/>
    <cellStyle name="40% - Énfasis4 3 2" xfId="2527" xr:uid="{00000000-0005-0000-0000-000085030000}"/>
    <cellStyle name="40% - Énfasis4 30" xfId="447" xr:uid="{00000000-0005-0000-0000-000086030000}"/>
    <cellStyle name="40% - Énfasis4 30 2" xfId="2528" xr:uid="{00000000-0005-0000-0000-000087030000}"/>
    <cellStyle name="40% - Énfasis4 31" xfId="448" xr:uid="{00000000-0005-0000-0000-000088030000}"/>
    <cellStyle name="40% - Énfasis4 31 2" xfId="2529" xr:uid="{00000000-0005-0000-0000-000089030000}"/>
    <cellStyle name="40% - Énfasis4 32" xfId="449" xr:uid="{00000000-0005-0000-0000-00008A030000}"/>
    <cellStyle name="40% - Énfasis4 32 2" xfId="2530" xr:uid="{00000000-0005-0000-0000-00008B030000}"/>
    <cellStyle name="40% - Énfasis4 33" xfId="450" xr:uid="{00000000-0005-0000-0000-00008C030000}"/>
    <cellStyle name="40% - Énfasis4 33 2" xfId="2531" xr:uid="{00000000-0005-0000-0000-00008D030000}"/>
    <cellStyle name="40% - Énfasis4 34" xfId="451" xr:uid="{00000000-0005-0000-0000-00008E030000}"/>
    <cellStyle name="40% - Énfasis4 34 2" xfId="2532" xr:uid="{00000000-0005-0000-0000-00008F030000}"/>
    <cellStyle name="40% - Énfasis4 35" xfId="452" xr:uid="{00000000-0005-0000-0000-000090030000}"/>
    <cellStyle name="40% - Énfasis4 35 2" xfId="2533" xr:uid="{00000000-0005-0000-0000-000091030000}"/>
    <cellStyle name="40% - Énfasis4 36" xfId="453" xr:uid="{00000000-0005-0000-0000-000092030000}"/>
    <cellStyle name="40% - Énfasis4 36 2" xfId="2534" xr:uid="{00000000-0005-0000-0000-000093030000}"/>
    <cellStyle name="40% - Énfasis4 37" xfId="454" xr:uid="{00000000-0005-0000-0000-000094030000}"/>
    <cellStyle name="40% - Énfasis4 37 2" xfId="2535" xr:uid="{00000000-0005-0000-0000-000095030000}"/>
    <cellStyle name="40% - Énfasis4 38" xfId="455" xr:uid="{00000000-0005-0000-0000-000096030000}"/>
    <cellStyle name="40% - Énfasis4 38 2" xfId="2536" xr:uid="{00000000-0005-0000-0000-000097030000}"/>
    <cellStyle name="40% - Énfasis4 39" xfId="456" xr:uid="{00000000-0005-0000-0000-000098030000}"/>
    <cellStyle name="40% - Énfasis4 39 2" xfId="2537" xr:uid="{00000000-0005-0000-0000-000099030000}"/>
    <cellStyle name="40% - Énfasis4 4" xfId="457" xr:uid="{00000000-0005-0000-0000-00009A030000}"/>
    <cellStyle name="40% - Énfasis4 4 2" xfId="2538" xr:uid="{00000000-0005-0000-0000-00009B030000}"/>
    <cellStyle name="40% - Énfasis4 40" xfId="458" xr:uid="{00000000-0005-0000-0000-00009C030000}"/>
    <cellStyle name="40% - Énfasis4 40 2" xfId="2539" xr:uid="{00000000-0005-0000-0000-00009D030000}"/>
    <cellStyle name="40% - Énfasis4 41" xfId="459" xr:uid="{00000000-0005-0000-0000-00009E030000}"/>
    <cellStyle name="40% - Énfasis4 41 2" xfId="2540" xr:uid="{00000000-0005-0000-0000-00009F030000}"/>
    <cellStyle name="40% - Énfasis4 42" xfId="460" xr:uid="{00000000-0005-0000-0000-0000A0030000}"/>
    <cellStyle name="40% - Énfasis4 42 2" xfId="2541" xr:uid="{00000000-0005-0000-0000-0000A1030000}"/>
    <cellStyle name="40% - Énfasis4 43" xfId="461" xr:uid="{00000000-0005-0000-0000-0000A2030000}"/>
    <cellStyle name="40% - Énfasis4 43 2" xfId="2542" xr:uid="{00000000-0005-0000-0000-0000A3030000}"/>
    <cellStyle name="40% - Énfasis4 44" xfId="462" xr:uid="{00000000-0005-0000-0000-0000A4030000}"/>
    <cellStyle name="40% - Énfasis4 44 2" xfId="2543" xr:uid="{00000000-0005-0000-0000-0000A5030000}"/>
    <cellStyle name="40% - Énfasis4 45" xfId="463" xr:uid="{00000000-0005-0000-0000-0000A6030000}"/>
    <cellStyle name="40% - Énfasis4 45 2" xfId="2544" xr:uid="{00000000-0005-0000-0000-0000A7030000}"/>
    <cellStyle name="40% - Énfasis4 46" xfId="464" xr:uid="{00000000-0005-0000-0000-0000A8030000}"/>
    <cellStyle name="40% - Énfasis4 46 2" xfId="2545" xr:uid="{00000000-0005-0000-0000-0000A9030000}"/>
    <cellStyle name="40% - Énfasis4 47" xfId="465" xr:uid="{00000000-0005-0000-0000-0000AA030000}"/>
    <cellStyle name="40% - Énfasis4 47 2" xfId="2546" xr:uid="{00000000-0005-0000-0000-0000AB030000}"/>
    <cellStyle name="40% - Énfasis4 5" xfId="466" xr:uid="{00000000-0005-0000-0000-0000AC030000}"/>
    <cellStyle name="40% - Énfasis4 5 2" xfId="2547" xr:uid="{00000000-0005-0000-0000-0000AD030000}"/>
    <cellStyle name="40% - Énfasis4 6" xfId="467" xr:uid="{00000000-0005-0000-0000-0000AE030000}"/>
    <cellStyle name="40% - Énfasis4 6 2" xfId="2548" xr:uid="{00000000-0005-0000-0000-0000AF030000}"/>
    <cellStyle name="40% - Énfasis4 7" xfId="468" xr:uid="{00000000-0005-0000-0000-0000B0030000}"/>
    <cellStyle name="40% - Énfasis4 7 2" xfId="2549" xr:uid="{00000000-0005-0000-0000-0000B1030000}"/>
    <cellStyle name="40% - Énfasis4 8" xfId="469" xr:uid="{00000000-0005-0000-0000-0000B2030000}"/>
    <cellStyle name="40% - Énfasis4 8 2" xfId="2550" xr:uid="{00000000-0005-0000-0000-0000B3030000}"/>
    <cellStyle name="40% - Énfasis4 9" xfId="470" xr:uid="{00000000-0005-0000-0000-0000B4030000}"/>
    <cellStyle name="40% - Énfasis4 9 2" xfId="2551" xr:uid="{00000000-0005-0000-0000-0000B5030000}"/>
    <cellStyle name="40% - Énfasis5" xfId="2076" builtinId="47" customBuiltin="1"/>
    <cellStyle name="40% - Énfasis5 1" xfId="471" xr:uid="{00000000-0005-0000-0000-0000B7030000}"/>
    <cellStyle name="40% - Énfasis5 1 2" xfId="2552" xr:uid="{00000000-0005-0000-0000-0000B8030000}"/>
    <cellStyle name="40% - Énfasis5 10" xfId="472" xr:uid="{00000000-0005-0000-0000-0000B9030000}"/>
    <cellStyle name="40% - Énfasis5 10 2" xfId="2553" xr:uid="{00000000-0005-0000-0000-0000BA030000}"/>
    <cellStyle name="40% - Énfasis5 11" xfId="473" xr:uid="{00000000-0005-0000-0000-0000BB030000}"/>
    <cellStyle name="40% - Énfasis5 11 2" xfId="2554" xr:uid="{00000000-0005-0000-0000-0000BC030000}"/>
    <cellStyle name="40% - Énfasis5 12" xfId="474" xr:uid="{00000000-0005-0000-0000-0000BD030000}"/>
    <cellStyle name="40% - Énfasis5 12 2" xfId="2555" xr:uid="{00000000-0005-0000-0000-0000BE030000}"/>
    <cellStyle name="40% - Énfasis5 13" xfId="475" xr:uid="{00000000-0005-0000-0000-0000BF030000}"/>
    <cellStyle name="40% - Énfasis5 13 2" xfId="2556" xr:uid="{00000000-0005-0000-0000-0000C0030000}"/>
    <cellStyle name="40% - Énfasis5 14" xfId="476" xr:uid="{00000000-0005-0000-0000-0000C1030000}"/>
    <cellStyle name="40% - Énfasis5 14 2" xfId="2557" xr:uid="{00000000-0005-0000-0000-0000C2030000}"/>
    <cellStyle name="40% - Énfasis5 15" xfId="477" xr:uid="{00000000-0005-0000-0000-0000C3030000}"/>
    <cellStyle name="40% - Énfasis5 15 2" xfId="2558" xr:uid="{00000000-0005-0000-0000-0000C4030000}"/>
    <cellStyle name="40% - Énfasis5 16" xfId="478" xr:uid="{00000000-0005-0000-0000-0000C5030000}"/>
    <cellStyle name="40% - Énfasis5 16 2" xfId="2559" xr:uid="{00000000-0005-0000-0000-0000C6030000}"/>
    <cellStyle name="40% - Énfasis5 17" xfId="479" xr:uid="{00000000-0005-0000-0000-0000C7030000}"/>
    <cellStyle name="40% - Énfasis5 17 2" xfId="2560" xr:uid="{00000000-0005-0000-0000-0000C8030000}"/>
    <cellStyle name="40% - Énfasis5 18" xfId="480" xr:uid="{00000000-0005-0000-0000-0000C9030000}"/>
    <cellStyle name="40% - Énfasis5 18 2" xfId="2561" xr:uid="{00000000-0005-0000-0000-0000CA030000}"/>
    <cellStyle name="40% - Énfasis5 19" xfId="481" xr:uid="{00000000-0005-0000-0000-0000CB030000}"/>
    <cellStyle name="40% - Énfasis5 19 2" xfId="2562" xr:uid="{00000000-0005-0000-0000-0000CC030000}"/>
    <cellStyle name="40% - Énfasis5 2" xfId="482" xr:uid="{00000000-0005-0000-0000-0000CD030000}"/>
    <cellStyle name="40% - Énfasis5 2 2" xfId="2563" xr:uid="{00000000-0005-0000-0000-0000CE030000}"/>
    <cellStyle name="40% - Énfasis5 20" xfId="483" xr:uid="{00000000-0005-0000-0000-0000CF030000}"/>
    <cellStyle name="40% - Énfasis5 20 2" xfId="2564" xr:uid="{00000000-0005-0000-0000-0000D0030000}"/>
    <cellStyle name="40% - Énfasis5 21" xfId="484" xr:uid="{00000000-0005-0000-0000-0000D1030000}"/>
    <cellStyle name="40% - Énfasis5 21 2" xfId="2565" xr:uid="{00000000-0005-0000-0000-0000D2030000}"/>
    <cellStyle name="40% - Énfasis5 22" xfId="485" xr:uid="{00000000-0005-0000-0000-0000D3030000}"/>
    <cellStyle name="40% - Énfasis5 22 2" xfId="2566" xr:uid="{00000000-0005-0000-0000-0000D4030000}"/>
    <cellStyle name="40% - Énfasis5 23" xfId="486" xr:uid="{00000000-0005-0000-0000-0000D5030000}"/>
    <cellStyle name="40% - Énfasis5 23 2" xfId="2567" xr:uid="{00000000-0005-0000-0000-0000D6030000}"/>
    <cellStyle name="40% - Énfasis5 24" xfId="487" xr:uid="{00000000-0005-0000-0000-0000D7030000}"/>
    <cellStyle name="40% - Énfasis5 24 2" xfId="2568" xr:uid="{00000000-0005-0000-0000-0000D8030000}"/>
    <cellStyle name="40% - Énfasis5 25" xfId="488" xr:uid="{00000000-0005-0000-0000-0000D9030000}"/>
    <cellStyle name="40% - Énfasis5 25 2" xfId="2569" xr:uid="{00000000-0005-0000-0000-0000DA030000}"/>
    <cellStyle name="40% - Énfasis5 26" xfId="489" xr:uid="{00000000-0005-0000-0000-0000DB030000}"/>
    <cellStyle name="40% - Énfasis5 26 2" xfId="2570" xr:uid="{00000000-0005-0000-0000-0000DC030000}"/>
    <cellStyle name="40% - Énfasis5 27" xfId="490" xr:uid="{00000000-0005-0000-0000-0000DD030000}"/>
    <cellStyle name="40% - Énfasis5 27 2" xfId="2571" xr:uid="{00000000-0005-0000-0000-0000DE030000}"/>
    <cellStyle name="40% - Énfasis5 28" xfId="491" xr:uid="{00000000-0005-0000-0000-0000DF030000}"/>
    <cellStyle name="40% - Énfasis5 28 2" xfId="2572" xr:uid="{00000000-0005-0000-0000-0000E0030000}"/>
    <cellStyle name="40% - Énfasis5 29" xfId="492" xr:uid="{00000000-0005-0000-0000-0000E1030000}"/>
    <cellStyle name="40% - Énfasis5 29 2" xfId="2573" xr:uid="{00000000-0005-0000-0000-0000E2030000}"/>
    <cellStyle name="40% - Énfasis5 3" xfId="493" xr:uid="{00000000-0005-0000-0000-0000E3030000}"/>
    <cellStyle name="40% - Énfasis5 3 2" xfId="2574" xr:uid="{00000000-0005-0000-0000-0000E4030000}"/>
    <cellStyle name="40% - Énfasis5 30" xfId="494" xr:uid="{00000000-0005-0000-0000-0000E5030000}"/>
    <cellStyle name="40% - Énfasis5 30 2" xfId="2575" xr:uid="{00000000-0005-0000-0000-0000E6030000}"/>
    <cellStyle name="40% - Énfasis5 31" xfId="495" xr:uid="{00000000-0005-0000-0000-0000E7030000}"/>
    <cellStyle name="40% - Énfasis5 31 2" xfId="2576" xr:uid="{00000000-0005-0000-0000-0000E8030000}"/>
    <cellStyle name="40% - Énfasis5 32" xfId="496" xr:uid="{00000000-0005-0000-0000-0000E9030000}"/>
    <cellStyle name="40% - Énfasis5 32 2" xfId="2577" xr:uid="{00000000-0005-0000-0000-0000EA030000}"/>
    <cellStyle name="40% - Énfasis5 33" xfId="497" xr:uid="{00000000-0005-0000-0000-0000EB030000}"/>
    <cellStyle name="40% - Énfasis5 33 2" xfId="2578" xr:uid="{00000000-0005-0000-0000-0000EC030000}"/>
    <cellStyle name="40% - Énfasis5 34" xfId="498" xr:uid="{00000000-0005-0000-0000-0000ED030000}"/>
    <cellStyle name="40% - Énfasis5 34 2" xfId="2579" xr:uid="{00000000-0005-0000-0000-0000EE030000}"/>
    <cellStyle name="40% - Énfasis5 35" xfId="499" xr:uid="{00000000-0005-0000-0000-0000EF030000}"/>
    <cellStyle name="40% - Énfasis5 35 2" xfId="2580" xr:uid="{00000000-0005-0000-0000-0000F0030000}"/>
    <cellStyle name="40% - Énfasis5 36" xfId="500" xr:uid="{00000000-0005-0000-0000-0000F1030000}"/>
    <cellStyle name="40% - Énfasis5 36 2" xfId="2581" xr:uid="{00000000-0005-0000-0000-0000F2030000}"/>
    <cellStyle name="40% - Énfasis5 37" xfId="501" xr:uid="{00000000-0005-0000-0000-0000F3030000}"/>
    <cellStyle name="40% - Énfasis5 37 2" xfId="2582" xr:uid="{00000000-0005-0000-0000-0000F4030000}"/>
    <cellStyle name="40% - Énfasis5 38" xfId="502" xr:uid="{00000000-0005-0000-0000-0000F5030000}"/>
    <cellStyle name="40% - Énfasis5 38 2" xfId="2583" xr:uid="{00000000-0005-0000-0000-0000F6030000}"/>
    <cellStyle name="40% - Énfasis5 39" xfId="503" xr:uid="{00000000-0005-0000-0000-0000F7030000}"/>
    <cellStyle name="40% - Énfasis5 39 2" xfId="2584" xr:uid="{00000000-0005-0000-0000-0000F8030000}"/>
    <cellStyle name="40% - Énfasis5 4" xfId="504" xr:uid="{00000000-0005-0000-0000-0000F9030000}"/>
    <cellStyle name="40% - Énfasis5 4 2" xfId="2585" xr:uid="{00000000-0005-0000-0000-0000FA030000}"/>
    <cellStyle name="40% - Énfasis5 40" xfId="505" xr:uid="{00000000-0005-0000-0000-0000FB030000}"/>
    <cellStyle name="40% - Énfasis5 40 2" xfId="2586" xr:uid="{00000000-0005-0000-0000-0000FC030000}"/>
    <cellStyle name="40% - Énfasis5 41" xfId="506" xr:uid="{00000000-0005-0000-0000-0000FD030000}"/>
    <cellStyle name="40% - Énfasis5 41 2" xfId="2587" xr:uid="{00000000-0005-0000-0000-0000FE030000}"/>
    <cellStyle name="40% - Énfasis5 42" xfId="507" xr:uid="{00000000-0005-0000-0000-0000FF030000}"/>
    <cellStyle name="40% - Énfasis5 42 2" xfId="2588" xr:uid="{00000000-0005-0000-0000-000000040000}"/>
    <cellStyle name="40% - Énfasis5 43" xfId="508" xr:uid="{00000000-0005-0000-0000-000001040000}"/>
    <cellStyle name="40% - Énfasis5 43 2" xfId="2589" xr:uid="{00000000-0005-0000-0000-000002040000}"/>
    <cellStyle name="40% - Énfasis5 44" xfId="509" xr:uid="{00000000-0005-0000-0000-000003040000}"/>
    <cellStyle name="40% - Énfasis5 44 2" xfId="2590" xr:uid="{00000000-0005-0000-0000-000004040000}"/>
    <cellStyle name="40% - Énfasis5 45" xfId="510" xr:uid="{00000000-0005-0000-0000-000005040000}"/>
    <cellStyle name="40% - Énfasis5 45 2" xfId="2591" xr:uid="{00000000-0005-0000-0000-000006040000}"/>
    <cellStyle name="40% - Énfasis5 46" xfId="511" xr:uid="{00000000-0005-0000-0000-000007040000}"/>
    <cellStyle name="40% - Énfasis5 46 2" xfId="2592" xr:uid="{00000000-0005-0000-0000-000008040000}"/>
    <cellStyle name="40% - Énfasis5 47" xfId="512" xr:uid="{00000000-0005-0000-0000-000009040000}"/>
    <cellStyle name="40% - Énfasis5 47 2" xfId="2593" xr:uid="{00000000-0005-0000-0000-00000A040000}"/>
    <cellStyle name="40% - Énfasis5 5" xfId="513" xr:uid="{00000000-0005-0000-0000-00000B040000}"/>
    <cellStyle name="40% - Énfasis5 5 2" xfId="2594" xr:uid="{00000000-0005-0000-0000-00000C040000}"/>
    <cellStyle name="40% - Énfasis5 6" xfId="514" xr:uid="{00000000-0005-0000-0000-00000D040000}"/>
    <cellStyle name="40% - Énfasis5 6 2" xfId="2595" xr:uid="{00000000-0005-0000-0000-00000E040000}"/>
    <cellStyle name="40% - Énfasis5 7" xfId="515" xr:uid="{00000000-0005-0000-0000-00000F040000}"/>
    <cellStyle name="40% - Énfasis5 7 2" xfId="2596" xr:uid="{00000000-0005-0000-0000-000010040000}"/>
    <cellStyle name="40% - Énfasis5 8" xfId="516" xr:uid="{00000000-0005-0000-0000-000011040000}"/>
    <cellStyle name="40% - Énfasis5 8 2" xfId="2597" xr:uid="{00000000-0005-0000-0000-000012040000}"/>
    <cellStyle name="40% - Énfasis5 9" xfId="517" xr:uid="{00000000-0005-0000-0000-000013040000}"/>
    <cellStyle name="40% - Énfasis5 9 2" xfId="2598" xr:uid="{00000000-0005-0000-0000-000014040000}"/>
    <cellStyle name="40% - Énfasis6" xfId="2080" builtinId="51" customBuiltin="1"/>
    <cellStyle name="40% - Énfasis6 1" xfId="518" xr:uid="{00000000-0005-0000-0000-000016040000}"/>
    <cellStyle name="40% - Énfasis6 1 2" xfId="2599" xr:uid="{00000000-0005-0000-0000-000017040000}"/>
    <cellStyle name="40% - Énfasis6 10" xfId="519" xr:uid="{00000000-0005-0000-0000-000018040000}"/>
    <cellStyle name="40% - Énfasis6 10 2" xfId="2600" xr:uid="{00000000-0005-0000-0000-000019040000}"/>
    <cellStyle name="40% - Énfasis6 11" xfId="520" xr:uid="{00000000-0005-0000-0000-00001A040000}"/>
    <cellStyle name="40% - Énfasis6 11 2" xfId="2601" xr:uid="{00000000-0005-0000-0000-00001B040000}"/>
    <cellStyle name="40% - Énfasis6 12" xfId="521" xr:uid="{00000000-0005-0000-0000-00001C040000}"/>
    <cellStyle name="40% - Énfasis6 12 2" xfId="2602" xr:uid="{00000000-0005-0000-0000-00001D040000}"/>
    <cellStyle name="40% - Énfasis6 13" xfId="522" xr:uid="{00000000-0005-0000-0000-00001E040000}"/>
    <cellStyle name="40% - Énfasis6 13 2" xfId="2603" xr:uid="{00000000-0005-0000-0000-00001F040000}"/>
    <cellStyle name="40% - Énfasis6 14" xfId="523" xr:uid="{00000000-0005-0000-0000-000020040000}"/>
    <cellStyle name="40% - Énfasis6 14 2" xfId="2604" xr:uid="{00000000-0005-0000-0000-000021040000}"/>
    <cellStyle name="40% - Énfasis6 15" xfId="524" xr:uid="{00000000-0005-0000-0000-000022040000}"/>
    <cellStyle name="40% - Énfasis6 15 2" xfId="2605" xr:uid="{00000000-0005-0000-0000-000023040000}"/>
    <cellStyle name="40% - Énfasis6 16" xfId="525" xr:uid="{00000000-0005-0000-0000-000024040000}"/>
    <cellStyle name="40% - Énfasis6 16 2" xfId="2606" xr:uid="{00000000-0005-0000-0000-000025040000}"/>
    <cellStyle name="40% - Énfasis6 17" xfId="526" xr:uid="{00000000-0005-0000-0000-000026040000}"/>
    <cellStyle name="40% - Énfasis6 17 2" xfId="2607" xr:uid="{00000000-0005-0000-0000-000027040000}"/>
    <cellStyle name="40% - Énfasis6 18" xfId="527" xr:uid="{00000000-0005-0000-0000-000028040000}"/>
    <cellStyle name="40% - Énfasis6 18 2" xfId="2608" xr:uid="{00000000-0005-0000-0000-000029040000}"/>
    <cellStyle name="40% - Énfasis6 19" xfId="528" xr:uid="{00000000-0005-0000-0000-00002A040000}"/>
    <cellStyle name="40% - Énfasis6 19 2" xfId="2609" xr:uid="{00000000-0005-0000-0000-00002B040000}"/>
    <cellStyle name="40% - Énfasis6 2" xfId="529" xr:uid="{00000000-0005-0000-0000-00002C040000}"/>
    <cellStyle name="40% - Énfasis6 2 2" xfId="2610" xr:uid="{00000000-0005-0000-0000-00002D040000}"/>
    <cellStyle name="40% - Énfasis6 20" xfId="530" xr:uid="{00000000-0005-0000-0000-00002E040000}"/>
    <cellStyle name="40% - Énfasis6 20 2" xfId="2611" xr:uid="{00000000-0005-0000-0000-00002F040000}"/>
    <cellStyle name="40% - Énfasis6 21" xfId="531" xr:uid="{00000000-0005-0000-0000-000030040000}"/>
    <cellStyle name="40% - Énfasis6 21 2" xfId="2612" xr:uid="{00000000-0005-0000-0000-000031040000}"/>
    <cellStyle name="40% - Énfasis6 22" xfId="532" xr:uid="{00000000-0005-0000-0000-000032040000}"/>
    <cellStyle name="40% - Énfasis6 22 2" xfId="2613" xr:uid="{00000000-0005-0000-0000-000033040000}"/>
    <cellStyle name="40% - Énfasis6 23" xfId="533" xr:uid="{00000000-0005-0000-0000-000034040000}"/>
    <cellStyle name="40% - Énfasis6 23 2" xfId="2614" xr:uid="{00000000-0005-0000-0000-000035040000}"/>
    <cellStyle name="40% - Énfasis6 24" xfId="534" xr:uid="{00000000-0005-0000-0000-000036040000}"/>
    <cellStyle name="40% - Énfasis6 24 2" xfId="2615" xr:uid="{00000000-0005-0000-0000-000037040000}"/>
    <cellStyle name="40% - Énfasis6 25" xfId="535" xr:uid="{00000000-0005-0000-0000-000038040000}"/>
    <cellStyle name="40% - Énfasis6 25 2" xfId="2616" xr:uid="{00000000-0005-0000-0000-000039040000}"/>
    <cellStyle name="40% - Énfasis6 26" xfId="536" xr:uid="{00000000-0005-0000-0000-00003A040000}"/>
    <cellStyle name="40% - Énfasis6 26 2" xfId="2617" xr:uid="{00000000-0005-0000-0000-00003B040000}"/>
    <cellStyle name="40% - Énfasis6 27" xfId="537" xr:uid="{00000000-0005-0000-0000-00003C040000}"/>
    <cellStyle name="40% - Énfasis6 27 2" xfId="2618" xr:uid="{00000000-0005-0000-0000-00003D040000}"/>
    <cellStyle name="40% - Énfasis6 28" xfId="538" xr:uid="{00000000-0005-0000-0000-00003E040000}"/>
    <cellStyle name="40% - Énfasis6 28 2" xfId="2619" xr:uid="{00000000-0005-0000-0000-00003F040000}"/>
    <cellStyle name="40% - Énfasis6 29" xfId="539" xr:uid="{00000000-0005-0000-0000-000040040000}"/>
    <cellStyle name="40% - Énfasis6 29 2" xfId="2620" xr:uid="{00000000-0005-0000-0000-000041040000}"/>
    <cellStyle name="40% - Énfasis6 3" xfId="540" xr:uid="{00000000-0005-0000-0000-000042040000}"/>
    <cellStyle name="40% - Énfasis6 3 2" xfId="2621" xr:uid="{00000000-0005-0000-0000-000043040000}"/>
    <cellStyle name="40% - Énfasis6 30" xfId="541" xr:uid="{00000000-0005-0000-0000-000044040000}"/>
    <cellStyle name="40% - Énfasis6 30 2" xfId="2622" xr:uid="{00000000-0005-0000-0000-000045040000}"/>
    <cellStyle name="40% - Énfasis6 31" xfId="542" xr:uid="{00000000-0005-0000-0000-000046040000}"/>
    <cellStyle name="40% - Énfasis6 31 2" xfId="2623" xr:uid="{00000000-0005-0000-0000-000047040000}"/>
    <cellStyle name="40% - Énfasis6 32" xfId="543" xr:uid="{00000000-0005-0000-0000-000048040000}"/>
    <cellStyle name="40% - Énfasis6 32 2" xfId="2624" xr:uid="{00000000-0005-0000-0000-000049040000}"/>
    <cellStyle name="40% - Énfasis6 33" xfId="544" xr:uid="{00000000-0005-0000-0000-00004A040000}"/>
    <cellStyle name="40% - Énfasis6 33 2" xfId="2625" xr:uid="{00000000-0005-0000-0000-00004B040000}"/>
    <cellStyle name="40% - Énfasis6 34" xfId="545" xr:uid="{00000000-0005-0000-0000-00004C040000}"/>
    <cellStyle name="40% - Énfasis6 34 2" xfId="2626" xr:uid="{00000000-0005-0000-0000-00004D040000}"/>
    <cellStyle name="40% - Énfasis6 35" xfId="546" xr:uid="{00000000-0005-0000-0000-00004E040000}"/>
    <cellStyle name="40% - Énfasis6 35 2" xfId="2627" xr:uid="{00000000-0005-0000-0000-00004F040000}"/>
    <cellStyle name="40% - Énfasis6 36" xfId="547" xr:uid="{00000000-0005-0000-0000-000050040000}"/>
    <cellStyle name="40% - Énfasis6 36 2" xfId="2628" xr:uid="{00000000-0005-0000-0000-000051040000}"/>
    <cellStyle name="40% - Énfasis6 37" xfId="548" xr:uid="{00000000-0005-0000-0000-000052040000}"/>
    <cellStyle name="40% - Énfasis6 37 2" xfId="2629" xr:uid="{00000000-0005-0000-0000-000053040000}"/>
    <cellStyle name="40% - Énfasis6 38" xfId="549" xr:uid="{00000000-0005-0000-0000-000054040000}"/>
    <cellStyle name="40% - Énfasis6 38 2" xfId="2630" xr:uid="{00000000-0005-0000-0000-000055040000}"/>
    <cellStyle name="40% - Énfasis6 39" xfId="550" xr:uid="{00000000-0005-0000-0000-000056040000}"/>
    <cellStyle name="40% - Énfasis6 39 2" xfId="2631" xr:uid="{00000000-0005-0000-0000-000057040000}"/>
    <cellStyle name="40% - Énfasis6 4" xfId="551" xr:uid="{00000000-0005-0000-0000-000058040000}"/>
    <cellStyle name="40% - Énfasis6 4 2" xfId="2632" xr:uid="{00000000-0005-0000-0000-000059040000}"/>
    <cellStyle name="40% - Énfasis6 40" xfId="552" xr:uid="{00000000-0005-0000-0000-00005A040000}"/>
    <cellStyle name="40% - Énfasis6 40 2" xfId="2633" xr:uid="{00000000-0005-0000-0000-00005B040000}"/>
    <cellStyle name="40% - Énfasis6 41" xfId="553" xr:uid="{00000000-0005-0000-0000-00005C040000}"/>
    <cellStyle name="40% - Énfasis6 41 2" xfId="2634" xr:uid="{00000000-0005-0000-0000-00005D040000}"/>
    <cellStyle name="40% - Énfasis6 42" xfId="554" xr:uid="{00000000-0005-0000-0000-00005E040000}"/>
    <cellStyle name="40% - Énfasis6 42 2" xfId="2635" xr:uid="{00000000-0005-0000-0000-00005F040000}"/>
    <cellStyle name="40% - Énfasis6 43" xfId="555" xr:uid="{00000000-0005-0000-0000-000060040000}"/>
    <cellStyle name="40% - Énfasis6 43 2" xfId="2636" xr:uid="{00000000-0005-0000-0000-000061040000}"/>
    <cellStyle name="40% - Énfasis6 44" xfId="556" xr:uid="{00000000-0005-0000-0000-000062040000}"/>
    <cellStyle name="40% - Énfasis6 44 2" xfId="2637" xr:uid="{00000000-0005-0000-0000-000063040000}"/>
    <cellStyle name="40% - Énfasis6 45" xfId="557" xr:uid="{00000000-0005-0000-0000-000064040000}"/>
    <cellStyle name="40% - Énfasis6 45 2" xfId="2638" xr:uid="{00000000-0005-0000-0000-000065040000}"/>
    <cellStyle name="40% - Énfasis6 46" xfId="558" xr:uid="{00000000-0005-0000-0000-000066040000}"/>
    <cellStyle name="40% - Énfasis6 46 2" xfId="2639" xr:uid="{00000000-0005-0000-0000-000067040000}"/>
    <cellStyle name="40% - Énfasis6 47" xfId="559" xr:uid="{00000000-0005-0000-0000-000068040000}"/>
    <cellStyle name="40% - Énfasis6 47 2" xfId="2640" xr:uid="{00000000-0005-0000-0000-000069040000}"/>
    <cellStyle name="40% - Énfasis6 5" xfId="560" xr:uid="{00000000-0005-0000-0000-00006A040000}"/>
    <cellStyle name="40% - Énfasis6 5 2" xfId="2641" xr:uid="{00000000-0005-0000-0000-00006B040000}"/>
    <cellStyle name="40% - Énfasis6 6" xfId="561" xr:uid="{00000000-0005-0000-0000-00006C040000}"/>
    <cellStyle name="40% - Énfasis6 6 2" xfId="2642" xr:uid="{00000000-0005-0000-0000-00006D040000}"/>
    <cellStyle name="40% - Énfasis6 7" xfId="562" xr:uid="{00000000-0005-0000-0000-00006E040000}"/>
    <cellStyle name="40% - Énfasis6 7 2" xfId="2643" xr:uid="{00000000-0005-0000-0000-00006F040000}"/>
    <cellStyle name="40% - Énfasis6 8" xfId="563" xr:uid="{00000000-0005-0000-0000-000070040000}"/>
    <cellStyle name="40% - Énfasis6 8 2" xfId="2644" xr:uid="{00000000-0005-0000-0000-000071040000}"/>
    <cellStyle name="40% - Énfasis6 9" xfId="564" xr:uid="{00000000-0005-0000-0000-000072040000}"/>
    <cellStyle name="40% - Énfasis6 9 2" xfId="2645" xr:uid="{00000000-0005-0000-0000-000073040000}"/>
    <cellStyle name="60% - Énfasis1" xfId="2061" builtinId="32" customBuiltin="1"/>
    <cellStyle name="60% - Énfasis1 1" xfId="565" xr:uid="{00000000-0005-0000-0000-000075040000}"/>
    <cellStyle name="60% - Énfasis1 10" xfId="566" xr:uid="{00000000-0005-0000-0000-000076040000}"/>
    <cellStyle name="60% - Énfasis1 11" xfId="567" xr:uid="{00000000-0005-0000-0000-000077040000}"/>
    <cellStyle name="60% - Énfasis1 12" xfId="568" xr:uid="{00000000-0005-0000-0000-000078040000}"/>
    <cellStyle name="60% - Énfasis1 13" xfId="569" xr:uid="{00000000-0005-0000-0000-000079040000}"/>
    <cellStyle name="60% - Énfasis1 14" xfId="570" xr:uid="{00000000-0005-0000-0000-00007A040000}"/>
    <cellStyle name="60% - Énfasis1 15" xfId="571" xr:uid="{00000000-0005-0000-0000-00007B040000}"/>
    <cellStyle name="60% - Énfasis1 16" xfId="572" xr:uid="{00000000-0005-0000-0000-00007C040000}"/>
    <cellStyle name="60% - Énfasis1 17" xfId="573" xr:uid="{00000000-0005-0000-0000-00007D040000}"/>
    <cellStyle name="60% - Énfasis1 18" xfId="574" xr:uid="{00000000-0005-0000-0000-00007E040000}"/>
    <cellStyle name="60% - Énfasis1 19" xfId="575" xr:uid="{00000000-0005-0000-0000-00007F040000}"/>
    <cellStyle name="60% - Énfasis1 2" xfId="576" xr:uid="{00000000-0005-0000-0000-000080040000}"/>
    <cellStyle name="60% - Énfasis1 20" xfId="577" xr:uid="{00000000-0005-0000-0000-000081040000}"/>
    <cellStyle name="60% - Énfasis1 21" xfId="578" xr:uid="{00000000-0005-0000-0000-000082040000}"/>
    <cellStyle name="60% - Énfasis1 22" xfId="579" xr:uid="{00000000-0005-0000-0000-000083040000}"/>
    <cellStyle name="60% - Énfasis1 23" xfId="580" xr:uid="{00000000-0005-0000-0000-000084040000}"/>
    <cellStyle name="60% - Énfasis1 24" xfId="581" xr:uid="{00000000-0005-0000-0000-000085040000}"/>
    <cellStyle name="60% - Énfasis1 25" xfId="582" xr:uid="{00000000-0005-0000-0000-000086040000}"/>
    <cellStyle name="60% - Énfasis1 26" xfId="583" xr:uid="{00000000-0005-0000-0000-000087040000}"/>
    <cellStyle name="60% - Énfasis1 27" xfId="584" xr:uid="{00000000-0005-0000-0000-000088040000}"/>
    <cellStyle name="60% - Énfasis1 28" xfId="585" xr:uid="{00000000-0005-0000-0000-000089040000}"/>
    <cellStyle name="60% - Énfasis1 29" xfId="586" xr:uid="{00000000-0005-0000-0000-00008A040000}"/>
    <cellStyle name="60% - Énfasis1 3" xfId="587" xr:uid="{00000000-0005-0000-0000-00008B040000}"/>
    <cellStyle name="60% - Énfasis1 30" xfId="588" xr:uid="{00000000-0005-0000-0000-00008C040000}"/>
    <cellStyle name="60% - Énfasis1 31" xfId="589" xr:uid="{00000000-0005-0000-0000-00008D040000}"/>
    <cellStyle name="60% - Énfasis1 32" xfId="590" xr:uid="{00000000-0005-0000-0000-00008E040000}"/>
    <cellStyle name="60% - Énfasis1 33" xfId="591" xr:uid="{00000000-0005-0000-0000-00008F040000}"/>
    <cellStyle name="60% - Énfasis1 34" xfId="592" xr:uid="{00000000-0005-0000-0000-000090040000}"/>
    <cellStyle name="60% - Énfasis1 35" xfId="593" xr:uid="{00000000-0005-0000-0000-000091040000}"/>
    <cellStyle name="60% - Énfasis1 36" xfId="594" xr:uid="{00000000-0005-0000-0000-000092040000}"/>
    <cellStyle name="60% - Énfasis1 37" xfId="595" xr:uid="{00000000-0005-0000-0000-000093040000}"/>
    <cellStyle name="60% - Énfasis1 38" xfId="596" xr:uid="{00000000-0005-0000-0000-000094040000}"/>
    <cellStyle name="60% - Énfasis1 38 2" xfId="2646" xr:uid="{00000000-0005-0000-0000-000095040000}"/>
    <cellStyle name="60% - Énfasis1 39" xfId="597" xr:uid="{00000000-0005-0000-0000-000096040000}"/>
    <cellStyle name="60% - Énfasis1 39 2" xfId="2647" xr:uid="{00000000-0005-0000-0000-000097040000}"/>
    <cellStyle name="60% - Énfasis1 4" xfId="598" xr:uid="{00000000-0005-0000-0000-000098040000}"/>
    <cellStyle name="60% - Énfasis1 40" xfId="599" xr:uid="{00000000-0005-0000-0000-000099040000}"/>
    <cellStyle name="60% - Énfasis1 40 2" xfId="2648" xr:uid="{00000000-0005-0000-0000-00009A040000}"/>
    <cellStyle name="60% - Énfasis1 41" xfId="600" xr:uid="{00000000-0005-0000-0000-00009B040000}"/>
    <cellStyle name="60% - Énfasis1 41 2" xfId="2649" xr:uid="{00000000-0005-0000-0000-00009C040000}"/>
    <cellStyle name="60% - Énfasis1 42" xfId="601" xr:uid="{00000000-0005-0000-0000-00009D040000}"/>
    <cellStyle name="60% - Énfasis1 42 2" xfId="2650" xr:uid="{00000000-0005-0000-0000-00009E040000}"/>
    <cellStyle name="60% - Énfasis1 43" xfId="602" xr:uid="{00000000-0005-0000-0000-00009F040000}"/>
    <cellStyle name="60% - Énfasis1 43 2" xfId="2651" xr:uid="{00000000-0005-0000-0000-0000A0040000}"/>
    <cellStyle name="60% - Énfasis1 44" xfId="603" xr:uid="{00000000-0005-0000-0000-0000A1040000}"/>
    <cellStyle name="60% - Énfasis1 44 2" xfId="2652" xr:uid="{00000000-0005-0000-0000-0000A2040000}"/>
    <cellStyle name="60% - Énfasis1 45" xfId="604" xr:uid="{00000000-0005-0000-0000-0000A3040000}"/>
    <cellStyle name="60% - Énfasis1 45 2" xfId="2653" xr:uid="{00000000-0005-0000-0000-0000A4040000}"/>
    <cellStyle name="60% - Énfasis1 46" xfId="605" xr:uid="{00000000-0005-0000-0000-0000A5040000}"/>
    <cellStyle name="60% - Énfasis1 46 2" xfId="2654" xr:uid="{00000000-0005-0000-0000-0000A6040000}"/>
    <cellStyle name="60% - Énfasis1 47" xfId="606" xr:uid="{00000000-0005-0000-0000-0000A7040000}"/>
    <cellStyle name="60% - Énfasis1 5" xfId="607" xr:uid="{00000000-0005-0000-0000-0000A8040000}"/>
    <cellStyle name="60% - Énfasis1 6" xfId="608" xr:uid="{00000000-0005-0000-0000-0000A9040000}"/>
    <cellStyle name="60% - Énfasis1 7" xfId="609" xr:uid="{00000000-0005-0000-0000-0000AA040000}"/>
    <cellStyle name="60% - Énfasis1 8" xfId="610" xr:uid="{00000000-0005-0000-0000-0000AB040000}"/>
    <cellStyle name="60% - Énfasis1 9" xfId="611" xr:uid="{00000000-0005-0000-0000-0000AC040000}"/>
    <cellStyle name="60% - Énfasis2" xfId="2065" builtinId="36" customBuiltin="1"/>
    <cellStyle name="60% - Énfasis2 1" xfId="612" xr:uid="{00000000-0005-0000-0000-0000AE040000}"/>
    <cellStyle name="60% - Énfasis2 10" xfId="613" xr:uid="{00000000-0005-0000-0000-0000AF040000}"/>
    <cellStyle name="60% - Énfasis2 11" xfId="614" xr:uid="{00000000-0005-0000-0000-0000B0040000}"/>
    <cellStyle name="60% - Énfasis2 12" xfId="615" xr:uid="{00000000-0005-0000-0000-0000B1040000}"/>
    <cellStyle name="60% - Énfasis2 13" xfId="616" xr:uid="{00000000-0005-0000-0000-0000B2040000}"/>
    <cellStyle name="60% - Énfasis2 14" xfId="617" xr:uid="{00000000-0005-0000-0000-0000B3040000}"/>
    <cellStyle name="60% - Énfasis2 15" xfId="618" xr:uid="{00000000-0005-0000-0000-0000B4040000}"/>
    <cellStyle name="60% - Énfasis2 16" xfId="619" xr:uid="{00000000-0005-0000-0000-0000B5040000}"/>
    <cellStyle name="60% - Énfasis2 17" xfId="620" xr:uid="{00000000-0005-0000-0000-0000B6040000}"/>
    <cellStyle name="60% - Énfasis2 18" xfId="621" xr:uid="{00000000-0005-0000-0000-0000B7040000}"/>
    <cellStyle name="60% - Énfasis2 19" xfId="622" xr:uid="{00000000-0005-0000-0000-0000B8040000}"/>
    <cellStyle name="60% - Énfasis2 2" xfId="623" xr:uid="{00000000-0005-0000-0000-0000B9040000}"/>
    <cellStyle name="60% - Énfasis2 20" xfId="624" xr:uid="{00000000-0005-0000-0000-0000BA040000}"/>
    <cellStyle name="60% - Énfasis2 21" xfId="625" xr:uid="{00000000-0005-0000-0000-0000BB040000}"/>
    <cellStyle name="60% - Énfasis2 22" xfId="626" xr:uid="{00000000-0005-0000-0000-0000BC040000}"/>
    <cellStyle name="60% - Énfasis2 23" xfId="627" xr:uid="{00000000-0005-0000-0000-0000BD040000}"/>
    <cellStyle name="60% - Énfasis2 24" xfId="628" xr:uid="{00000000-0005-0000-0000-0000BE040000}"/>
    <cellStyle name="60% - Énfasis2 25" xfId="629" xr:uid="{00000000-0005-0000-0000-0000BF040000}"/>
    <cellStyle name="60% - Énfasis2 26" xfId="630" xr:uid="{00000000-0005-0000-0000-0000C0040000}"/>
    <cellStyle name="60% - Énfasis2 27" xfId="631" xr:uid="{00000000-0005-0000-0000-0000C1040000}"/>
    <cellStyle name="60% - Énfasis2 28" xfId="632" xr:uid="{00000000-0005-0000-0000-0000C2040000}"/>
    <cellStyle name="60% - Énfasis2 29" xfId="633" xr:uid="{00000000-0005-0000-0000-0000C3040000}"/>
    <cellStyle name="60% - Énfasis2 3" xfId="634" xr:uid="{00000000-0005-0000-0000-0000C4040000}"/>
    <cellStyle name="60% - Énfasis2 30" xfId="635" xr:uid="{00000000-0005-0000-0000-0000C5040000}"/>
    <cellStyle name="60% - Énfasis2 31" xfId="636" xr:uid="{00000000-0005-0000-0000-0000C6040000}"/>
    <cellStyle name="60% - Énfasis2 32" xfId="637" xr:uid="{00000000-0005-0000-0000-0000C7040000}"/>
    <cellStyle name="60% - Énfasis2 33" xfId="638" xr:uid="{00000000-0005-0000-0000-0000C8040000}"/>
    <cellStyle name="60% - Énfasis2 34" xfId="639" xr:uid="{00000000-0005-0000-0000-0000C9040000}"/>
    <cellStyle name="60% - Énfasis2 35" xfId="640" xr:uid="{00000000-0005-0000-0000-0000CA040000}"/>
    <cellStyle name="60% - Énfasis2 36" xfId="641" xr:uid="{00000000-0005-0000-0000-0000CB040000}"/>
    <cellStyle name="60% - Énfasis2 37" xfId="642" xr:uid="{00000000-0005-0000-0000-0000CC040000}"/>
    <cellStyle name="60% - Énfasis2 38" xfId="643" xr:uid="{00000000-0005-0000-0000-0000CD040000}"/>
    <cellStyle name="60% - Énfasis2 38 2" xfId="2655" xr:uid="{00000000-0005-0000-0000-0000CE040000}"/>
    <cellStyle name="60% - Énfasis2 39" xfId="644" xr:uid="{00000000-0005-0000-0000-0000CF040000}"/>
    <cellStyle name="60% - Énfasis2 39 2" xfId="2656" xr:uid="{00000000-0005-0000-0000-0000D0040000}"/>
    <cellStyle name="60% - Énfasis2 4" xfId="645" xr:uid="{00000000-0005-0000-0000-0000D1040000}"/>
    <cellStyle name="60% - Énfasis2 40" xfId="646" xr:uid="{00000000-0005-0000-0000-0000D2040000}"/>
    <cellStyle name="60% - Énfasis2 40 2" xfId="2657" xr:uid="{00000000-0005-0000-0000-0000D3040000}"/>
    <cellStyle name="60% - Énfasis2 41" xfId="647" xr:uid="{00000000-0005-0000-0000-0000D4040000}"/>
    <cellStyle name="60% - Énfasis2 41 2" xfId="2658" xr:uid="{00000000-0005-0000-0000-0000D5040000}"/>
    <cellStyle name="60% - Énfasis2 42" xfId="648" xr:uid="{00000000-0005-0000-0000-0000D6040000}"/>
    <cellStyle name="60% - Énfasis2 42 2" xfId="2659" xr:uid="{00000000-0005-0000-0000-0000D7040000}"/>
    <cellStyle name="60% - Énfasis2 43" xfId="649" xr:uid="{00000000-0005-0000-0000-0000D8040000}"/>
    <cellStyle name="60% - Énfasis2 43 2" xfId="2660" xr:uid="{00000000-0005-0000-0000-0000D9040000}"/>
    <cellStyle name="60% - Énfasis2 44" xfId="650" xr:uid="{00000000-0005-0000-0000-0000DA040000}"/>
    <cellStyle name="60% - Énfasis2 44 2" xfId="2661" xr:uid="{00000000-0005-0000-0000-0000DB040000}"/>
    <cellStyle name="60% - Énfasis2 45" xfId="651" xr:uid="{00000000-0005-0000-0000-0000DC040000}"/>
    <cellStyle name="60% - Énfasis2 45 2" xfId="2662" xr:uid="{00000000-0005-0000-0000-0000DD040000}"/>
    <cellStyle name="60% - Énfasis2 46" xfId="652" xr:uid="{00000000-0005-0000-0000-0000DE040000}"/>
    <cellStyle name="60% - Énfasis2 46 2" xfId="2663" xr:uid="{00000000-0005-0000-0000-0000DF040000}"/>
    <cellStyle name="60% - Énfasis2 47" xfId="653" xr:uid="{00000000-0005-0000-0000-0000E0040000}"/>
    <cellStyle name="60% - Énfasis2 5" xfId="654" xr:uid="{00000000-0005-0000-0000-0000E1040000}"/>
    <cellStyle name="60% - Énfasis2 6" xfId="655" xr:uid="{00000000-0005-0000-0000-0000E2040000}"/>
    <cellStyle name="60% - Énfasis2 7" xfId="656" xr:uid="{00000000-0005-0000-0000-0000E3040000}"/>
    <cellStyle name="60% - Énfasis2 8" xfId="657" xr:uid="{00000000-0005-0000-0000-0000E4040000}"/>
    <cellStyle name="60% - Énfasis2 9" xfId="658" xr:uid="{00000000-0005-0000-0000-0000E5040000}"/>
    <cellStyle name="60% - Énfasis3" xfId="2069" builtinId="40" customBuiltin="1"/>
    <cellStyle name="60% - Énfasis3 1" xfId="659" xr:uid="{00000000-0005-0000-0000-0000E7040000}"/>
    <cellStyle name="60% - Énfasis3 10" xfId="660" xr:uid="{00000000-0005-0000-0000-0000E8040000}"/>
    <cellStyle name="60% - Énfasis3 11" xfId="661" xr:uid="{00000000-0005-0000-0000-0000E9040000}"/>
    <cellStyle name="60% - Énfasis3 12" xfId="662" xr:uid="{00000000-0005-0000-0000-0000EA040000}"/>
    <cellStyle name="60% - Énfasis3 13" xfId="663" xr:uid="{00000000-0005-0000-0000-0000EB040000}"/>
    <cellStyle name="60% - Énfasis3 14" xfId="664" xr:uid="{00000000-0005-0000-0000-0000EC040000}"/>
    <cellStyle name="60% - Énfasis3 15" xfId="665" xr:uid="{00000000-0005-0000-0000-0000ED040000}"/>
    <cellStyle name="60% - Énfasis3 16" xfId="666" xr:uid="{00000000-0005-0000-0000-0000EE040000}"/>
    <cellStyle name="60% - Énfasis3 17" xfId="667" xr:uid="{00000000-0005-0000-0000-0000EF040000}"/>
    <cellStyle name="60% - Énfasis3 18" xfId="668" xr:uid="{00000000-0005-0000-0000-0000F0040000}"/>
    <cellStyle name="60% - Énfasis3 19" xfId="669" xr:uid="{00000000-0005-0000-0000-0000F1040000}"/>
    <cellStyle name="60% - Énfasis3 2" xfId="670" xr:uid="{00000000-0005-0000-0000-0000F2040000}"/>
    <cellStyle name="60% - Énfasis3 20" xfId="671" xr:uid="{00000000-0005-0000-0000-0000F3040000}"/>
    <cellStyle name="60% - Énfasis3 21" xfId="672" xr:uid="{00000000-0005-0000-0000-0000F4040000}"/>
    <cellStyle name="60% - Énfasis3 22" xfId="673" xr:uid="{00000000-0005-0000-0000-0000F5040000}"/>
    <cellStyle name="60% - Énfasis3 23" xfId="674" xr:uid="{00000000-0005-0000-0000-0000F6040000}"/>
    <cellStyle name="60% - Énfasis3 24" xfId="675" xr:uid="{00000000-0005-0000-0000-0000F7040000}"/>
    <cellStyle name="60% - Énfasis3 25" xfId="676" xr:uid="{00000000-0005-0000-0000-0000F8040000}"/>
    <cellStyle name="60% - Énfasis3 26" xfId="677" xr:uid="{00000000-0005-0000-0000-0000F9040000}"/>
    <cellStyle name="60% - Énfasis3 27" xfId="678" xr:uid="{00000000-0005-0000-0000-0000FA040000}"/>
    <cellStyle name="60% - Énfasis3 28" xfId="679" xr:uid="{00000000-0005-0000-0000-0000FB040000}"/>
    <cellStyle name="60% - Énfasis3 29" xfId="680" xr:uid="{00000000-0005-0000-0000-0000FC040000}"/>
    <cellStyle name="60% - Énfasis3 3" xfId="681" xr:uid="{00000000-0005-0000-0000-0000FD040000}"/>
    <cellStyle name="60% - Énfasis3 30" xfId="682" xr:uid="{00000000-0005-0000-0000-0000FE040000}"/>
    <cellStyle name="60% - Énfasis3 31" xfId="683" xr:uid="{00000000-0005-0000-0000-0000FF040000}"/>
    <cellStyle name="60% - Énfasis3 32" xfId="684" xr:uid="{00000000-0005-0000-0000-000000050000}"/>
    <cellStyle name="60% - Énfasis3 33" xfId="685" xr:uid="{00000000-0005-0000-0000-000001050000}"/>
    <cellStyle name="60% - Énfasis3 34" xfId="686" xr:uid="{00000000-0005-0000-0000-000002050000}"/>
    <cellStyle name="60% - Énfasis3 35" xfId="687" xr:uid="{00000000-0005-0000-0000-000003050000}"/>
    <cellStyle name="60% - Énfasis3 36" xfId="688" xr:uid="{00000000-0005-0000-0000-000004050000}"/>
    <cellStyle name="60% - Énfasis3 37" xfId="689" xr:uid="{00000000-0005-0000-0000-000005050000}"/>
    <cellStyle name="60% - Énfasis3 38" xfId="690" xr:uid="{00000000-0005-0000-0000-000006050000}"/>
    <cellStyle name="60% - Énfasis3 38 2" xfId="2664" xr:uid="{00000000-0005-0000-0000-000007050000}"/>
    <cellStyle name="60% - Énfasis3 39" xfId="691" xr:uid="{00000000-0005-0000-0000-000008050000}"/>
    <cellStyle name="60% - Énfasis3 39 2" xfId="2665" xr:uid="{00000000-0005-0000-0000-000009050000}"/>
    <cellStyle name="60% - Énfasis3 4" xfId="692" xr:uid="{00000000-0005-0000-0000-00000A050000}"/>
    <cellStyle name="60% - Énfasis3 40" xfId="693" xr:uid="{00000000-0005-0000-0000-00000B050000}"/>
    <cellStyle name="60% - Énfasis3 40 2" xfId="2666" xr:uid="{00000000-0005-0000-0000-00000C050000}"/>
    <cellStyle name="60% - Énfasis3 41" xfId="694" xr:uid="{00000000-0005-0000-0000-00000D050000}"/>
    <cellStyle name="60% - Énfasis3 41 2" xfId="2667" xr:uid="{00000000-0005-0000-0000-00000E050000}"/>
    <cellStyle name="60% - Énfasis3 42" xfId="695" xr:uid="{00000000-0005-0000-0000-00000F050000}"/>
    <cellStyle name="60% - Énfasis3 42 2" xfId="2668" xr:uid="{00000000-0005-0000-0000-000010050000}"/>
    <cellStyle name="60% - Énfasis3 43" xfId="696" xr:uid="{00000000-0005-0000-0000-000011050000}"/>
    <cellStyle name="60% - Énfasis3 43 2" xfId="2669" xr:uid="{00000000-0005-0000-0000-000012050000}"/>
    <cellStyle name="60% - Énfasis3 44" xfId="697" xr:uid="{00000000-0005-0000-0000-000013050000}"/>
    <cellStyle name="60% - Énfasis3 44 2" xfId="2670" xr:uid="{00000000-0005-0000-0000-000014050000}"/>
    <cellStyle name="60% - Énfasis3 45" xfId="698" xr:uid="{00000000-0005-0000-0000-000015050000}"/>
    <cellStyle name="60% - Énfasis3 45 2" xfId="2671" xr:uid="{00000000-0005-0000-0000-000016050000}"/>
    <cellStyle name="60% - Énfasis3 46" xfId="699" xr:uid="{00000000-0005-0000-0000-000017050000}"/>
    <cellStyle name="60% - Énfasis3 46 2" xfId="2672" xr:uid="{00000000-0005-0000-0000-000018050000}"/>
    <cellStyle name="60% - Énfasis3 47" xfId="700" xr:uid="{00000000-0005-0000-0000-000019050000}"/>
    <cellStyle name="60% - Énfasis3 5" xfId="701" xr:uid="{00000000-0005-0000-0000-00001A050000}"/>
    <cellStyle name="60% - Énfasis3 6" xfId="702" xr:uid="{00000000-0005-0000-0000-00001B050000}"/>
    <cellStyle name="60% - Énfasis3 7" xfId="703" xr:uid="{00000000-0005-0000-0000-00001C050000}"/>
    <cellStyle name="60% - Énfasis3 8" xfId="704" xr:uid="{00000000-0005-0000-0000-00001D050000}"/>
    <cellStyle name="60% - Énfasis3 9" xfId="705" xr:uid="{00000000-0005-0000-0000-00001E050000}"/>
    <cellStyle name="60% - Énfasis4" xfId="2073" builtinId="44" customBuiltin="1"/>
    <cellStyle name="60% - Énfasis4 1" xfId="706" xr:uid="{00000000-0005-0000-0000-000020050000}"/>
    <cellStyle name="60% - Énfasis4 10" xfId="707" xr:uid="{00000000-0005-0000-0000-000021050000}"/>
    <cellStyle name="60% - Énfasis4 11" xfId="708" xr:uid="{00000000-0005-0000-0000-000022050000}"/>
    <cellStyle name="60% - Énfasis4 12" xfId="709" xr:uid="{00000000-0005-0000-0000-000023050000}"/>
    <cellStyle name="60% - Énfasis4 13" xfId="710" xr:uid="{00000000-0005-0000-0000-000024050000}"/>
    <cellStyle name="60% - Énfasis4 14" xfId="711" xr:uid="{00000000-0005-0000-0000-000025050000}"/>
    <cellStyle name="60% - Énfasis4 15" xfId="712" xr:uid="{00000000-0005-0000-0000-000026050000}"/>
    <cellStyle name="60% - Énfasis4 16" xfId="713" xr:uid="{00000000-0005-0000-0000-000027050000}"/>
    <cellStyle name="60% - Énfasis4 17" xfId="714" xr:uid="{00000000-0005-0000-0000-000028050000}"/>
    <cellStyle name="60% - Énfasis4 18" xfId="715" xr:uid="{00000000-0005-0000-0000-000029050000}"/>
    <cellStyle name="60% - Énfasis4 19" xfId="716" xr:uid="{00000000-0005-0000-0000-00002A050000}"/>
    <cellStyle name="60% - Énfasis4 2" xfId="717" xr:uid="{00000000-0005-0000-0000-00002B050000}"/>
    <cellStyle name="60% - Énfasis4 20" xfId="718" xr:uid="{00000000-0005-0000-0000-00002C050000}"/>
    <cellStyle name="60% - Énfasis4 21" xfId="719" xr:uid="{00000000-0005-0000-0000-00002D050000}"/>
    <cellStyle name="60% - Énfasis4 22" xfId="720" xr:uid="{00000000-0005-0000-0000-00002E050000}"/>
    <cellStyle name="60% - Énfasis4 23" xfId="721" xr:uid="{00000000-0005-0000-0000-00002F050000}"/>
    <cellStyle name="60% - Énfasis4 24" xfId="722" xr:uid="{00000000-0005-0000-0000-000030050000}"/>
    <cellStyle name="60% - Énfasis4 25" xfId="723" xr:uid="{00000000-0005-0000-0000-000031050000}"/>
    <cellStyle name="60% - Énfasis4 26" xfId="724" xr:uid="{00000000-0005-0000-0000-000032050000}"/>
    <cellStyle name="60% - Énfasis4 27" xfId="725" xr:uid="{00000000-0005-0000-0000-000033050000}"/>
    <cellStyle name="60% - Énfasis4 28" xfId="726" xr:uid="{00000000-0005-0000-0000-000034050000}"/>
    <cellStyle name="60% - Énfasis4 29" xfId="727" xr:uid="{00000000-0005-0000-0000-000035050000}"/>
    <cellStyle name="60% - Énfasis4 3" xfId="728" xr:uid="{00000000-0005-0000-0000-000036050000}"/>
    <cellStyle name="60% - Énfasis4 30" xfId="729" xr:uid="{00000000-0005-0000-0000-000037050000}"/>
    <cellStyle name="60% - Énfasis4 31" xfId="730" xr:uid="{00000000-0005-0000-0000-000038050000}"/>
    <cellStyle name="60% - Énfasis4 32" xfId="731" xr:uid="{00000000-0005-0000-0000-000039050000}"/>
    <cellStyle name="60% - Énfasis4 33" xfId="732" xr:uid="{00000000-0005-0000-0000-00003A050000}"/>
    <cellStyle name="60% - Énfasis4 34" xfId="733" xr:uid="{00000000-0005-0000-0000-00003B050000}"/>
    <cellStyle name="60% - Énfasis4 35" xfId="734" xr:uid="{00000000-0005-0000-0000-00003C050000}"/>
    <cellStyle name="60% - Énfasis4 36" xfId="735" xr:uid="{00000000-0005-0000-0000-00003D050000}"/>
    <cellStyle name="60% - Énfasis4 37" xfId="736" xr:uid="{00000000-0005-0000-0000-00003E050000}"/>
    <cellStyle name="60% - Énfasis4 38" xfId="737" xr:uid="{00000000-0005-0000-0000-00003F050000}"/>
    <cellStyle name="60% - Énfasis4 38 2" xfId="2673" xr:uid="{00000000-0005-0000-0000-000040050000}"/>
    <cellStyle name="60% - Énfasis4 39" xfId="738" xr:uid="{00000000-0005-0000-0000-000041050000}"/>
    <cellStyle name="60% - Énfasis4 39 2" xfId="2674" xr:uid="{00000000-0005-0000-0000-000042050000}"/>
    <cellStyle name="60% - Énfasis4 4" xfId="739" xr:uid="{00000000-0005-0000-0000-000043050000}"/>
    <cellStyle name="60% - Énfasis4 40" xfId="740" xr:uid="{00000000-0005-0000-0000-000044050000}"/>
    <cellStyle name="60% - Énfasis4 40 2" xfId="2675" xr:uid="{00000000-0005-0000-0000-000045050000}"/>
    <cellStyle name="60% - Énfasis4 41" xfId="741" xr:uid="{00000000-0005-0000-0000-000046050000}"/>
    <cellStyle name="60% - Énfasis4 41 2" xfId="2676" xr:uid="{00000000-0005-0000-0000-000047050000}"/>
    <cellStyle name="60% - Énfasis4 42" xfId="742" xr:uid="{00000000-0005-0000-0000-000048050000}"/>
    <cellStyle name="60% - Énfasis4 42 2" xfId="2677" xr:uid="{00000000-0005-0000-0000-000049050000}"/>
    <cellStyle name="60% - Énfasis4 43" xfId="743" xr:uid="{00000000-0005-0000-0000-00004A050000}"/>
    <cellStyle name="60% - Énfasis4 43 2" xfId="2678" xr:uid="{00000000-0005-0000-0000-00004B050000}"/>
    <cellStyle name="60% - Énfasis4 44" xfId="744" xr:uid="{00000000-0005-0000-0000-00004C050000}"/>
    <cellStyle name="60% - Énfasis4 44 2" xfId="2679" xr:uid="{00000000-0005-0000-0000-00004D050000}"/>
    <cellStyle name="60% - Énfasis4 45" xfId="745" xr:uid="{00000000-0005-0000-0000-00004E050000}"/>
    <cellStyle name="60% - Énfasis4 45 2" xfId="2680" xr:uid="{00000000-0005-0000-0000-00004F050000}"/>
    <cellStyle name="60% - Énfasis4 46" xfId="746" xr:uid="{00000000-0005-0000-0000-000050050000}"/>
    <cellStyle name="60% - Énfasis4 46 2" xfId="2681" xr:uid="{00000000-0005-0000-0000-000051050000}"/>
    <cellStyle name="60% - Énfasis4 47" xfId="747" xr:uid="{00000000-0005-0000-0000-000052050000}"/>
    <cellStyle name="60% - Énfasis4 5" xfId="748" xr:uid="{00000000-0005-0000-0000-000053050000}"/>
    <cellStyle name="60% - Énfasis4 6" xfId="749" xr:uid="{00000000-0005-0000-0000-000054050000}"/>
    <cellStyle name="60% - Énfasis4 7" xfId="750" xr:uid="{00000000-0005-0000-0000-000055050000}"/>
    <cellStyle name="60% - Énfasis4 8" xfId="751" xr:uid="{00000000-0005-0000-0000-000056050000}"/>
    <cellStyle name="60% - Énfasis4 9" xfId="752" xr:uid="{00000000-0005-0000-0000-000057050000}"/>
    <cellStyle name="60% - Énfasis5" xfId="2077" builtinId="48" customBuiltin="1"/>
    <cellStyle name="60% - Énfasis5 1" xfId="753" xr:uid="{00000000-0005-0000-0000-000059050000}"/>
    <cellStyle name="60% - Énfasis5 10" xfId="754" xr:uid="{00000000-0005-0000-0000-00005A050000}"/>
    <cellStyle name="60% - Énfasis5 11" xfId="755" xr:uid="{00000000-0005-0000-0000-00005B050000}"/>
    <cellStyle name="60% - Énfasis5 12" xfId="756" xr:uid="{00000000-0005-0000-0000-00005C050000}"/>
    <cellStyle name="60% - Énfasis5 13" xfId="757" xr:uid="{00000000-0005-0000-0000-00005D050000}"/>
    <cellStyle name="60% - Énfasis5 14" xfId="758" xr:uid="{00000000-0005-0000-0000-00005E050000}"/>
    <cellStyle name="60% - Énfasis5 15" xfId="759" xr:uid="{00000000-0005-0000-0000-00005F050000}"/>
    <cellStyle name="60% - Énfasis5 16" xfId="760" xr:uid="{00000000-0005-0000-0000-000060050000}"/>
    <cellStyle name="60% - Énfasis5 17" xfId="761" xr:uid="{00000000-0005-0000-0000-000061050000}"/>
    <cellStyle name="60% - Énfasis5 18" xfId="762" xr:uid="{00000000-0005-0000-0000-000062050000}"/>
    <cellStyle name="60% - Énfasis5 19" xfId="763" xr:uid="{00000000-0005-0000-0000-000063050000}"/>
    <cellStyle name="60% - Énfasis5 2" xfId="764" xr:uid="{00000000-0005-0000-0000-000064050000}"/>
    <cellStyle name="60% - Énfasis5 20" xfId="765" xr:uid="{00000000-0005-0000-0000-000065050000}"/>
    <cellStyle name="60% - Énfasis5 21" xfId="766" xr:uid="{00000000-0005-0000-0000-000066050000}"/>
    <cellStyle name="60% - Énfasis5 22" xfId="767" xr:uid="{00000000-0005-0000-0000-000067050000}"/>
    <cellStyle name="60% - Énfasis5 23" xfId="768" xr:uid="{00000000-0005-0000-0000-000068050000}"/>
    <cellStyle name="60% - Énfasis5 24" xfId="769" xr:uid="{00000000-0005-0000-0000-000069050000}"/>
    <cellStyle name="60% - Énfasis5 25" xfId="770" xr:uid="{00000000-0005-0000-0000-00006A050000}"/>
    <cellStyle name="60% - Énfasis5 26" xfId="771" xr:uid="{00000000-0005-0000-0000-00006B050000}"/>
    <cellStyle name="60% - Énfasis5 27" xfId="772" xr:uid="{00000000-0005-0000-0000-00006C050000}"/>
    <cellStyle name="60% - Énfasis5 28" xfId="773" xr:uid="{00000000-0005-0000-0000-00006D050000}"/>
    <cellStyle name="60% - Énfasis5 29" xfId="774" xr:uid="{00000000-0005-0000-0000-00006E050000}"/>
    <cellStyle name="60% - Énfasis5 3" xfId="775" xr:uid="{00000000-0005-0000-0000-00006F050000}"/>
    <cellStyle name="60% - Énfasis5 30" xfId="776" xr:uid="{00000000-0005-0000-0000-000070050000}"/>
    <cellStyle name="60% - Énfasis5 31" xfId="777" xr:uid="{00000000-0005-0000-0000-000071050000}"/>
    <cellStyle name="60% - Énfasis5 32" xfId="778" xr:uid="{00000000-0005-0000-0000-000072050000}"/>
    <cellStyle name="60% - Énfasis5 33" xfId="779" xr:uid="{00000000-0005-0000-0000-000073050000}"/>
    <cellStyle name="60% - Énfasis5 34" xfId="780" xr:uid="{00000000-0005-0000-0000-000074050000}"/>
    <cellStyle name="60% - Énfasis5 35" xfId="781" xr:uid="{00000000-0005-0000-0000-000075050000}"/>
    <cellStyle name="60% - Énfasis5 36" xfId="782" xr:uid="{00000000-0005-0000-0000-000076050000}"/>
    <cellStyle name="60% - Énfasis5 37" xfId="783" xr:uid="{00000000-0005-0000-0000-000077050000}"/>
    <cellStyle name="60% - Énfasis5 38" xfId="784" xr:uid="{00000000-0005-0000-0000-000078050000}"/>
    <cellStyle name="60% - Énfasis5 38 2" xfId="2682" xr:uid="{00000000-0005-0000-0000-000079050000}"/>
    <cellStyle name="60% - Énfasis5 39" xfId="785" xr:uid="{00000000-0005-0000-0000-00007A050000}"/>
    <cellStyle name="60% - Énfasis5 39 2" xfId="2683" xr:uid="{00000000-0005-0000-0000-00007B050000}"/>
    <cellStyle name="60% - Énfasis5 4" xfId="786" xr:uid="{00000000-0005-0000-0000-00007C050000}"/>
    <cellStyle name="60% - Énfasis5 40" xfId="787" xr:uid="{00000000-0005-0000-0000-00007D050000}"/>
    <cellStyle name="60% - Énfasis5 40 2" xfId="2684" xr:uid="{00000000-0005-0000-0000-00007E050000}"/>
    <cellStyle name="60% - Énfasis5 41" xfId="788" xr:uid="{00000000-0005-0000-0000-00007F050000}"/>
    <cellStyle name="60% - Énfasis5 41 2" xfId="2685" xr:uid="{00000000-0005-0000-0000-000080050000}"/>
    <cellStyle name="60% - Énfasis5 42" xfId="789" xr:uid="{00000000-0005-0000-0000-000081050000}"/>
    <cellStyle name="60% - Énfasis5 42 2" xfId="2686" xr:uid="{00000000-0005-0000-0000-000082050000}"/>
    <cellStyle name="60% - Énfasis5 43" xfId="790" xr:uid="{00000000-0005-0000-0000-000083050000}"/>
    <cellStyle name="60% - Énfasis5 43 2" xfId="2687" xr:uid="{00000000-0005-0000-0000-000084050000}"/>
    <cellStyle name="60% - Énfasis5 44" xfId="791" xr:uid="{00000000-0005-0000-0000-000085050000}"/>
    <cellStyle name="60% - Énfasis5 44 2" xfId="2688" xr:uid="{00000000-0005-0000-0000-000086050000}"/>
    <cellStyle name="60% - Énfasis5 45" xfId="792" xr:uid="{00000000-0005-0000-0000-000087050000}"/>
    <cellStyle name="60% - Énfasis5 45 2" xfId="2689" xr:uid="{00000000-0005-0000-0000-000088050000}"/>
    <cellStyle name="60% - Énfasis5 46" xfId="793" xr:uid="{00000000-0005-0000-0000-000089050000}"/>
    <cellStyle name="60% - Énfasis5 46 2" xfId="2690" xr:uid="{00000000-0005-0000-0000-00008A050000}"/>
    <cellStyle name="60% - Énfasis5 47" xfId="794" xr:uid="{00000000-0005-0000-0000-00008B050000}"/>
    <cellStyle name="60% - Énfasis5 5" xfId="795" xr:uid="{00000000-0005-0000-0000-00008C050000}"/>
    <cellStyle name="60% - Énfasis5 6" xfId="796" xr:uid="{00000000-0005-0000-0000-00008D050000}"/>
    <cellStyle name="60% - Énfasis5 7" xfId="797" xr:uid="{00000000-0005-0000-0000-00008E050000}"/>
    <cellStyle name="60% - Énfasis5 8" xfId="798" xr:uid="{00000000-0005-0000-0000-00008F050000}"/>
    <cellStyle name="60% - Énfasis5 9" xfId="799" xr:uid="{00000000-0005-0000-0000-000090050000}"/>
    <cellStyle name="60% - Énfasis6" xfId="2081" builtinId="52" customBuiltin="1"/>
    <cellStyle name="60% - Énfasis6 1" xfId="800" xr:uid="{00000000-0005-0000-0000-000092050000}"/>
    <cellStyle name="60% - Énfasis6 10" xfId="801" xr:uid="{00000000-0005-0000-0000-000093050000}"/>
    <cellStyle name="60% - Énfasis6 11" xfId="802" xr:uid="{00000000-0005-0000-0000-000094050000}"/>
    <cellStyle name="60% - Énfasis6 12" xfId="803" xr:uid="{00000000-0005-0000-0000-000095050000}"/>
    <cellStyle name="60% - Énfasis6 13" xfId="804" xr:uid="{00000000-0005-0000-0000-000096050000}"/>
    <cellStyle name="60% - Énfasis6 14" xfId="805" xr:uid="{00000000-0005-0000-0000-000097050000}"/>
    <cellStyle name="60% - Énfasis6 15" xfId="806" xr:uid="{00000000-0005-0000-0000-000098050000}"/>
    <cellStyle name="60% - Énfasis6 16" xfId="807" xr:uid="{00000000-0005-0000-0000-000099050000}"/>
    <cellStyle name="60% - Énfasis6 17" xfId="808" xr:uid="{00000000-0005-0000-0000-00009A050000}"/>
    <cellStyle name="60% - Énfasis6 18" xfId="809" xr:uid="{00000000-0005-0000-0000-00009B050000}"/>
    <cellStyle name="60% - Énfasis6 19" xfId="810" xr:uid="{00000000-0005-0000-0000-00009C050000}"/>
    <cellStyle name="60% - Énfasis6 2" xfId="811" xr:uid="{00000000-0005-0000-0000-00009D050000}"/>
    <cellStyle name="60% - Énfasis6 20" xfId="812" xr:uid="{00000000-0005-0000-0000-00009E050000}"/>
    <cellStyle name="60% - Énfasis6 21" xfId="813" xr:uid="{00000000-0005-0000-0000-00009F050000}"/>
    <cellStyle name="60% - Énfasis6 22" xfId="814" xr:uid="{00000000-0005-0000-0000-0000A0050000}"/>
    <cellStyle name="60% - Énfasis6 23" xfId="815" xr:uid="{00000000-0005-0000-0000-0000A1050000}"/>
    <cellStyle name="60% - Énfasis6 24" xfId="816" xr:uid="{00000000-0005-0000-0000-0000A2050000}"/>
    <cellStyle name="60% - Énfasis6 25" xfId="817" xr:uid="{00000000-0005-0000-0000-0000A3050000}"/>
    <cellStyle name="60% - Énfasis6 26" xfId="818" xr:uid="{00000000-0005-0000-0000-0000A4050000}"/>
    <cellStyle name="60% - Énfasis6 27" xfId="819" xr:uid="{00000000-0005-0000-0000-0000A5050000}"/>
    <cellStyle name="60% - Énfasis6 28" xfId="820" xr:uid="{00000000-0005-0000-0000-0000A6050000}"/>
    <cellStyle name="60% - Énfasis6 29" xfId="821" xr:uid="{00000000-0005-0000-0000-0000A7050000}"/>
    <cellStyle name="60% - Énfasis6 3" xfId="822" xr:uid="{00000000-0005-0000-0000-0000A8050000}"/>
    <cellStyle name="60% - Énfasis6 30" xfId="823" xr:uid="{00000000-0005-0000-0000-0000A9050000}"/>
    <cellStyle name="60% - Énfasis6 31" xfId="824" xr:uid="{00000000-0005-0000-0000-0000AA050000}"/>
    <cellStyle name="60% - Énfasis6 32" xfId="825" xr:uid="{00000000-0005-0000-0000-0000AB050000}"/>
    <cellStyle name="60% - Énfasis6 33" xfId="826" xr:uid="{00000000-0005-0000-0000-0000AC050000}"/>
    <cellStyle name="60% - Énfasis6 34" xfId="827" xr:uid="{00000000-0005-0000-0000-0000AD050000}"/>
    <cellStyle name="60% - Énfasis6 35" xfId="828" xr:uid="{00000000-0005-0000-0000-0000AE050000}"/>
    <cellStyle name="60% - Énfasis6 36" xfId="829" xr:uid="{00000000-0005-0000-0000-0000AF050000}"/>
    <cellStyle name="60% - Énfasis6 37" xfId="830" xr:uid="{00000000-0005-0000-0000-0000B0050000}"/>
    <cellStyle name="60% - Énfasis6 38" xfId="831" xr:uid="{00000000-0005-0000-0000-0000B1050000}"/>
    <cellStyle name="60% - Énfasis6 38 2" xfId="2691" xr:uid="{00000000-0005-0000-0000-0000B2050000}"/>
    <cellStyle name="60% - Énfasis6 39" xfId="832" xr:uid="{00000000-0005-0000-0000-0000B3050000}"/>
    <cellStyle name="60% - Énfasis6 39 2" xfId="2692" xr:uid="{00000000-0005-0000-0000-0000B4050000}"/>
    <cellStyle name="60% - Énfasis6 4" xfId="833" xr:uid="{00000000-0005-0000-0000-0000B5050000}"/>
    <cellStyle name="60% - Énfasis6 40" xfId="834" xr:uid="{00000000-0005-0000-0000-0000B6050000}"/>
    <cellStyle name="60% - Énfasis6 40 2" xfId="2693" xr:uid="{00000000-0005-0000-0000-0000B7050000}"/>
    <cellStyle name="60% - Énfasis6 41" xfId="835" xr:uid="{00000000-0005-0000-0000-0000B8050000}"/>
    <cellStyle name="60% - Énfasis6 41 2" xfId="2694" xr:uid="{00000000-0005-0000-0000-0000B9050000}"/>
    <cellStyle name="60% - Énfasis6 42" xfId="836" xr:uid="{00000000-0005-0000-0000-0000BA050000}"/>
    <cellStyle name="60% - Énfasis6 42 2" xfId="2695" xr:uid="{00000000-0005-0000-0000-0000BB050000}"/>
    <cellStyle name="60% - Énfasis6 43" xfId="837" xr:uid="{00000000-0005-0000-0000-0000BC050000}"/>
    <cellStyle name="60% - Énfasis6 43 2" xfId="2696" xr:uid="{00000000-0005-0000-0000-0000BD050000}"/>
    <cellStyle name="60% - Énfasis6 44" xfId="838" xr:uid="{00000000-0005-0000-0000-0000BE050000}"/>
    <cellStyle name="60% - Énfasis6 44 2" xfId="2697" xr:uid="{00000000-0005-0000-0000-0000BF050000}"/>
    <cellStyle name="60% - Énfasis6 45" xfId="839" xr:uid="{00000000-0005-0000-0000-0000C0050000}"/>
    <cellStyle name="60% - Énfasis6 45 2" xfId="2698" xr:uid="{00000000-0005-0000-0000-0000C1050000}"/>
    <cellStyle name="60% - Énfasis6 46" xfId="840" xr:uid="{00000000-0005-0000-0000-0000C2050000}"/>
    <cellStyle name="60% - Énfasis6 46 2" xfId="2699" xr:uid="{00000000-0005-0000-0000-0000C3050000}"/>
    <cellStyle name="60% - Énfasis6 47" xfId="841" xr:uid="{00000000-0005-0000-0000-0000C4050000}"/>
    <cellStyle name="60% - Énfasis6 5" xfId="842" xr:uid="{00000000-0005-0000-0000-0000C5050000}"/>
    <cellStyle name="60% - Énfasis6 6" xfId="843" xr:uid="{00000000-0005-0000-0000-0000C6050000}"/>
    <cellStyle name="60% - Énfasis6 7" xfId="844" xr:uid="{00000000-0005-0000-0000-0000C7050000}"/>
    <cellStyle name="60% - Énfasis6 8" xfId="845" xr:uid="{00000000-0005-0000-0000-0000C8050000}"/>
    <cellStyle name="60% - Énfasis6 9" xfId="846" xr:uid="{00000000-0005-0000-0000-0000C9050000}"/>
    <cellStyle name="Buena 1" xfId="847" xr:uid="{00000000-0005-0000-0000-0000CA050000}"/>
    <cellStyle name="Buena 10" xfId="848" xr:uid="{00000000-0005-0000-0000-0000CB050000}"/>
    <cellStyle name="Buena 11" xfId="849" xr:uid="{00000000-0005-0000-0000-0000CC050000}"/>
    <cellStyle name="Buena 12" xfId="850" xr:uid="{00000000-0005-0000-0000-0000CD050000}"/>
    <cellStyle name="Buena 13" xfId="851" xr:uid="{00000000-0005-0000-0000-0000CE050000}"/>
    <cellStyle name="Buena 14" xfId="852" xr:uid="{00000000-0005-0000-0000-0000CF050000}"/>
    <cellStyle name="Buena 15" xfId="853" xr:uid="{00000000-0005-0000-0000-0000D0050000}"/>
    <cellStyle name="Buena 16" xfId="854" xr:uid="{00000000-0005-0000-0000-0000D1050000}"/>
    <cellStyle name="Buena 17" xfId="855" xr:uid="{00000000-0005-0000-0000-0000D2050000}"/>
    <cellStyle name="Buena 18" xfId="856" xr:uid="{00000000-0005-0000-0000-0000D3050000}"/>
    <cellStyle name="Buena 19" xfId="857" xr:uid="{00000000-0005-0000-0000-0000D4050000}"/>
    <cellStyle name="Buena 2" xfId="858" xr:uid="{00000000-0005-0000-0000-0000D5050000}"/>
    <cellStyle name="Buena 20" xfId="859" xr:uid="{00000000-0005-0000-0000-0000D6050000}"/>
    <cellStyle name="Buena 21" xfId="860" xr:uid="{00000000-0005-0000-0000-0000D7050000}"/>
    <cellStyle name="Buena 22" xfId="861" xr:uid="{00000000-0005-0000-0000-0000D8050000}"/>
    <cellStyle name="Buena 23" xfId="862" xr:uid="{00000000-0005-0000-0000-0000D9050000}"/>
    <cellStyle name="Buena 24" xfId="863" xr:uid="{00000000-0005-0000-0000-0000DA050000}"/>
    <cellStyle name="Buena 25" xfId="864" xr:uid="{00000000-0005-0000-0000-0000DB050000}"/>
    <cellStyle name="Buena 26" xfId="865" xr:uid="{00000000-0005-0000-0000-0000DC050000}"/>
    <cellStyle name="Buena 27" xfId="866" xr:uid="{00000000-0005-0000-0000-0000DD050000}"/>
    <cellStyle name="Buena 28" xfId="867" xr:uid="{00000000-0005-0000-0000-0000DE050000}"/>
    <cellStyle name="Buena 29" xfId="868" xr:uid="{00000000-0005-0000-0000-0000DF050000}"/>
    <cellStyle name="Buena 3" xfId="869" xr:uid="{00000000-0005-0000-0000-0000E0050000}"/>
    <cellStyle name="Buena 30" xfId="870" xr:uid="{00000000-0005-0000-0000-0000E1050000}"/>
    <cellStyle name="Buena 31" xfId="871" xr:uid="{00000000-0005-0000-0000-0000E2050000}"/>
    <cellStyle name="Buena 32" xfId="872" xr:uid="{00000000-0005-0000-0000-0000E3050000}"/>
    <cellStyle name="Buena 33" xfId="873" xr:uid="{00000000-0005-0000-0000-0000E4050000}"/>
    <cellStyle name="Buena 34" xfId="874" xr:uid="{00000000-0005-0000-0000-0000E5050000}"/>
    <cellStyle name="Buena 35" xfId="875" xr:uid="{00000000-0005-0000-0000-0000E6050000}"/>
    <cellStyle name="Buena 36" xfId="876" xr:uid="{00000000-0005-0000-0000-0000E7050000}"/>
    <cellStyle name="Buena 37" xfId="877" xr:uid="{00000000-0005-0000-0000-0000E8050000}"/>
    <cellStyle name="Buena 38" xfId="878" xr:uid="{00000000-0005-0000-0000-0000E9050000}"/>
    <cellStyle name="Buena 38 2" xfId="2700" xr:uid="{00000000-0005-0000-0000-0000EA050000}"/>
    <cellStyle name="Buena 39" xfId="879" xr:uid="{00000000-0005-0000-0000-0000EB050000}"/>
    <cellStyle name="Buena 39 2" xfId="2701" xr:uid="{00000000-0005-0000-0000-0000EC050000}"/>
    <cellStyle name="Buena 4" xfId="880" xr:uid="{00000000-0005-0000-0000-0000ED050000}"/>
    <cellStyle name="Buena 40" xfId="881" xr:uid="{00000000-0005-0000-0000-0000EE050000}"/>
    <cellStyle name="Buena 40 2" xfId="2702" xr:uid="{00000000-0005-0000-0000-0000EF050000}"/>
    <cellStyle name="Buena 41" xfId="882" xr:uid="{00000000-0005-0000-0000-0000F0050000}"/>
    <cellStyle name="Buena 41 2" xfId="2703" xr:uid="{00000000-0005-0000-0000-0000F1050000}"/>
    <cellStyle name="Buena 42" xfId="883" xr:uid="{00000000-0005-0000-0000-0000F2050000}"/>
    <cellStyle name="Buena 42 2" xfId="2704" xr:uid="{00000000-0005-0000-0000-0000F3050000}"/>
    <cellStyle name="Buena 43" xfId="884" xr:uid="{00000000-0005-0000-0000-0000F4050000}"/>
    <cellStyle name="Buena 43 2" xfId="2705" xr:uid="{00000000-0005-0000-0000-0000F5050000}"/>
    <cellStyle name="Buena 44" xfId="885" xr:uid="{00000000-0005-0000-0000-0000F6050000}"/>
    <cellStyle name="Buena 44 2" xfId="2706" xr:uid="{00000000-0005-0000-0000-0000F7050000}"/>
    <cellStyle name="Buena 45" xfId="886" xr:uid="{00000000-0005-0000-0000-0000F8050000}"/>
    <cellStyle name="Buena 45 2" xfId="2707" xr:uid="{00000000-0005-0000-0000-0000F9050000}"/>
    <cellStyle name="Buena 46" xfId="887" xr:uid="{00000000-0005-0000-0000-0000FA050000}"/>
    <cellStyle name="Buena 46 2" xfId="2708" xr:uid="{00000000-0005-0000-0000-0000FB050000}"/>
    <cellStyle name="Buena 47" xfId="888" xr:uid="{00000000-0005-0000-0000-0000FC050000}"/>
    <cellStyle name="Buena 5" xfId="889" xr:uid="{00000000-0005-0000-0000-0000FD050000}"/>
    <cellStyle name="Buena 6" xfId="890" xr:uid="{00000000-0005-0000-0000-0000FE050000}"/>
    <cellStyle name="Buena 7" xfId="891" xr:uid="{00000000-0005-0000-0000-0000FF050000}"/>
    <cellStyle name="Buena 8" xfId="892" xr:uid="{00000000-0005-0000-0000-000000060000}"/>
    <cellStyle name="Buena 9" xfId="893" xr:uid="{00000000-0005-0000-0000-000001060000}"/>
    <cellStyle name="Cálculo" xfId="2051" builtinId="22" customBuiltin="1"/>
    <cellStyle name="Cálculo 1" xfId="894" xr:uid="{00000000-0005-0000-0000-000003060000}"/>
    <cellStyle name="Cálculo 10" xfId="895" xr:uid="{00000000-0005-0000-0000-000004060000}"/>
    <cellStyle name="Cálculo 11" xfId="896" xr:uid="{00000000-0005-0000-0000-000005060000}"/>
    <cellStyle name="Cálculo 12" xfId="897" xr:uid="{00000000-0005-0000-0000-000006060000}"/>
    <cellStyle name="Cálculo 13" xfId="898" xr:uid="{00000000-0005-0000-0000-000007060000}"/>
    <cellStyle name="Cálculo 14" xfId="899" xr:uid="{00000000-0005-0000-0000-000008060000}"/>
    <cellStyle name="Cálculo 15" xfId="900" xr:uid="{00000000-0005-0000-0000-000009060000}"/>
    <cellStyle name="Cálculo 16" xfId="901" xr:uid="{00000000-0005-0000-0000-00000A060000}"/>
    <cellStyle name="Cálculo 17" xfId="902" xr:uid="{00000000-0005-0000-0000-00000B060000}"/>
    <cellStyle name="Cálculo 18" xfId="903" xr:uid="{00000000-0005-0000-0000-00000C060000}"/>
    <cellStyle name="Cálculo 19" xfId="904" xr:uid="{00000000-0005-0000-0000-00000D060000}"/>
    <cellStyle name="Cálculo 2" xfId="905" xr:uid="{00000000-0005-0000-0000-00000E060000}"/>
    <cellStyle name="Cálculo 20" xfId="906" xr:uid="{00000000-0005-0000-0000-00000F060000}"/>
    <cellStyle name="Cálculo 21" xfId="907" xr:uid="{00000000-0005-0000-0000-000010060000}"/>
    <cellStyle name="Cálculo 22" xfId="908" xr:uid="{00000000-0005-0000-0000-000011060000}"/>
    <cellStyle name="Cálculo 23" xfId="909" xr:uid="{00000000-0005-0000-0000-000012060000}"/>
    <cellStyle name="Cálculo 24" xfId="910" xr:uid="{00000000-0005-0000-0000-000013060000}"/>
    <cellStyle name="Cálculo 25" xfId="911" xr:uid="{00000000-0005-0000-0000-000014060000}"/>
    <cellStyle name="Cálculo 26" xfId="912" xr:uid="{00000000-0005-0000-0000-000015060000}"/>
    <cellStyle name="Cálculo 27" xfId="913" xr:uid="{00000000-0005-0000-0000-000016060000}"/>
    <cellStyle name="Cálculo 28" xfId="914" xr:uid="{00000000-0005-0000-0000-000017060000}"/>
    <cellStyle name="Cálculo 29" xfId="915" xr:uid="{00000000-0005-0000-0000-000018060000}"/>
    <cellStyle name="Cálculo 3" xfId="916" xr:uid="{00000000-0005-0000-0000-000019060000}"/>
    <cellStyle name="Cálculo 30" xfId="917" xr:uid="{00000000-0005-0000-0000-00001A060000}"/>
    <cellStyle name="Cálculo 31" xfId="918" xr:uid="{00000000-0005-0000-0000-00001B060000}"/>
    <cellStyle name="Cálculo 32" xfId="919" xr:uid="{00000000-0005-0000-0000-00001C060000}"/>
    <cellStyle name="Cálculo 33" xfId="920" xr:uid="{00000000-0005-0000-0000-00001D060000}"/>
    <cellStyle name="Cálculo 34" xfId="921" xr:uid="{00000000-0005-0000-0000-00001E060000}"/>
    <cellStyle name="Cálculo 35" xfId="922" xr:uid="{00000000-0005-0000-0000-00001F060000}"/>
    <cellStyle name="Cálculo 36" xfId="923" xr:uid="{00000000-0005-0000-0000-000020060000}"/>
    <cellStyle name="Cálculo 37" xfId="924" xr:uid="{00000000-0005-0000-0000-000021060000}"/>
    <cellStyle name="Cálculo 37 2" xfId="2709" xr:uid="{00000000-0005-0000-0000-000022060000}"/>
    <cellStyle name="Cálculo 38" xfId="925" xr:uid="{00000000-0005-0000-0000-000023060000}"/>
    <cellStyle name="Cálculo 38 2" xfId="2710" xr:uid="{00000000-0005-0000-0000-000024060000}"/>
    <cellStyle name="Cálculo 39" xfId="926" xr:uid="{00000000-0005-0000-0000-000025060000}"/>
    <cellStyle name="Cálculo 39 2" xfId="2711" xr:uid="{00000000-0005-0000-0000-000026060000}"/>
    <cellStyle name="Cálculo 4" xfId="927" xr:uid="{00000000-0005-0000-0000-000027060000}"/>
    <cellStyle name="Cálculo 40" xfId="928" xr:uid="{00000000-0005-0000-0000-000028060000}"/>
    <cellStyle name="Cálculo 40 2" xfId="2712" xr:uid="{00000000-0005-0000-0000-000029060000}"/>
    <cellStyle name="Cálculo 41" xfId="929" xr:uid="{00000000-0005-0000-0000-00002A060000}"/>
    <cellStyle name="Cálculo 41 2" xfId="2713" xr:uid="{00000000-0005-0000-0000-00002B060000}"/>
    <cellStyle name="Cálculo 42" xfId="930" xr:uid="{00000000-0005-0000-0000-00002C060000}"/>
    <cellStyle name="Cálculo 42 2" xfId="2714" xr:uid="{00000000-0005-0000-0000-00002D060000}"/>
    <cellStyle name="Cálculo 43" xfId="931" xr:uid="{00000000-0005-0000-0000-00002E060000}"/>
    <cellStyle name="Cálculo 43 2" xfId="2715" xr:uid="{00000000-0005-0000-0000-00002F060000}"/>
    <cellStyle name="Cálculo 44" xfId="932" xr:uid="{00000000-0005-0000-0000-000030060000}"/>
    <cellStyle name="Cálculo 44 2" xfId="2716" xr:uid="{00000000-0005-0000-0000-000031060000}"/>
    <cellStyle name="Cálculo 45" xfId="933" xr:uid="{00000000-0005-0000-0000-000032060000}"/>
    <cellStyle name="Cálculo 45 2" xfId="2717" xr:uid="{00000000-0005-0000-0000-000033060000}"/>
    <cellStyle name="Cálculo 46" xfId="934" xr:uid="{00000000-0005-0000-0000-000034060000}"/>
    <cellStyle name="Cálculo 5" xfId="935" xr:uid="{00000000-0005-0000-0000-000035060000}"/>
    <cellStyle name="Cálculo 6" xfId="936" xr:uid="{00000000-0005-0000-0000-000036060000}"/>
    <cellStyle name="Cálculo 7" xfId="937" xr:uid="{00000000-0005-0000-0000-000037060000}"/>
    <cellStyle name="Cálculo 8" xfId="938" xr:uid="{00000000-0005-0000-0000-000038060000}"/>
    <cellStyle name="Cálculo 9" xfId="939" xr:uid="{00000000-0005-0000-0000-000039060000}"/>
    <cellStyle name="Celda de comprobación" xfId="2053" builtinId="23" customBuiltin="1"/>
    <cellStyle name="Celda de comprobación 1" xfId="940" xr:uid="{00000000-0005-0000-0000-00003B060000}"/>
    <cellStyle name="Celda de comprobación 10" xfId="941" xr:uid="{00000000-0005-0000-0000-00003C060000}"/>
    <cellStyle name="Celda de comprobación 11" xfId="942" xr:uid="{00000000-0005-0000-0000-00003D060000}"/>
    <cellStyle name="Celda de comprobación 12" xfId="943" xr:uid="{00000000-0005-0000-0000-00003E060000}"/>
    <cellStyle name="Celda de comprobación 13" xfId="944" xr:uid="{00000000-0005-0000-0000-00003F060000}"/>
    <cellStyle name="Celda de comprobación 14" xfId="945" xr:uid="{00000000-0005-0000-0000-000040060000}"/>
    <cellStyle name="Celda de comprobación 15" xfId="946" xr:uid="{00000000-0005-0000-0000-000041060000}"/>
    <cellStyle name="Celda de comprobación 16" xfId="947" xr:uid="{00000000-0005-0000-0000-000042060000}"/>
    <cellStyle name="Celda de comprobación 17" xfId="948" xr:uid="{00000000-0005-0000-0000-000043060000}"/>
    <cellStyle name="Celda de comprobación 18" xfId="949" xr:uid="{00000000-0005-0000-0000-000044060000}"/>
    <cellStyle name="Celda de comprobación 19" xfId="950" xr:uid="{00000000-0005-0000-0000-000045060000}"/>
    <cellStyle name="Celda de comprobación 2" xfId="951" xr:uid="{00000000-0005-0000-0000-000046060000}"/>
    <cellStyle name="Celda de comprobación 20" xfId="952" xr:uid="{00000000-0005-0000-0000-000047060000}"/>
    <cellStyle name="Celda de comprobación 21" xfId="953" xr:uid="{00000000-0005-0000-0000-000048060000}"/>
    <cellStyle name="Celda de comprobación 22" xfId="954" xr:uid="{00000000-0005-0000-0000-000049060000}"/>
    <cellStyle name="Celda de comprobación 23" xfId="955" xr:uid="{00000000-0005-0000-0000-00004A060000}"/>
    <cellStyle name="Celda de comprobación 24" xfId="956" xr:uid="{00000000-0005-0000-0000-00004B060000}"/>
    <cellStyle name="Celda de comprobación 25" xfId="957" xr:uid="{00000000-0005-0000-0000-00004C060000}"/>
    <cellStyle name="Celda de comprobación 26" xfId="958" xr:uid="{00000000-0005-0000-0000-00004D060000}"/>
    <cellStyle name="Celda de comprobación 27" xfId="959" xr:uid="{00000000-0005-0000-0000-00004E060000}"/>
    <cellStyle name="Celda de comprobación 28" xfId="960" xr:uid="{00000000-0005-0000-0000-00004F060000}"/>
    <cellStyle name="Celda de comprobación 29" xfId="961" xr:uid="{00000000-0005-0000-0000-000050060000}"/>
    <cellStyle name="Celda de comprobación 3" xfId="962" xr:uid="{00000000-0005-0000-0000-000051060000}"/>
    <cellStyle name="Celda de comprobación 30" xfId="963" xr:uid="{00000000-0005-0000-0000-000052060000}"/>
    <cellStyle name="Celda de comprobación 31" xfId="964" xr:uid="{00000000-0005-0000-0000-000053060000}"/>
    <cellStyle name="Celda de comprobación 32" xfId="965" xr:uid="{00000000-0005-0000-0000-000054060000}"/>
    <cellStyle name="Celda de comprobación 33" xfId="966" xr:uid="{00000000-0005-0000-0000-000055060000}"/>
    <cellStyle name="Celda de comprobación 34" xfId="967" xr:uid="{00000000-0005-0000-0000-000056060000}"/>
    <cellStyle name="Celda de comprobación 35" xfId="968" xr:uid="{00000000-0005-0000-0000-000057060000}"/>
    <cellStyle name="Celda de comprobación 36" xfId="969" xr:uid="{00000000-0005-0000-0000-000058060000}"/>
    <cellStyle name="Celda de comprobación 37" xfId="970" xr:uid="{00000000-0005-0000-0000-000059060000}"/>
    <cellStyle name="Celda de comprobación 37 2" xfId="2718" xr:uid="{00000000-0005-0000-0000-00005A060000}"/>
    <cellStyle name="Celda de comprobación 38" xfId="971" xr:uid="{00000000-0005-0000-0000-00005B060000}"/>
    <cellStyle name="Celda de comprobación 38 2" xfId="2719" xr:uid="{00000000-0005-0000-0000-00005C060000}"/>
    <cellStyle name="Celda de comprobación 39" xfId="972" xr:uid="{00000000-0005-0000-0000-00005D060000}"/>
    <cellStyle name="Celda de comprobación 39 2" xfId="2720" xr:uid="{00000000-0005-0000-0000-00005E060000}"/>
    <cellStyle name="Celda de comprobación 4" xfId="973" xr:uid="{00000000-0005-0000-0000-00005F060000}"/>
    <cellStyle name="Celda de comprobación 40" xfId="974" xr:uid="{00000000-0005-0000-0000-000060060000}"/>
    <cellStyle name="Celda de comprobación 40 2" xfId="2721" xr:uid="{00000000-0005-0000-0000-000061060000}"/>
    <cellStyle name="Celda de comprobación 41" xfId="975" xr:uid="{00000000-0005-0000-0000-000062060000}"/>
    <cellStyle name="Celda de comprobación 41 2" xfId="2722" xr:uid="{00000000-0005-0000-0000-000063060000}"/>
    <cellStyle name="Celda de comprobación 42" xfId="976" xr:uid="{00000000-0005-0000-0000-000064060000}"/>
    <cellStyle name="Celda de comprobación 42 2" xfId="2723" xr:uid="{00000000-0005-0000-0000-000065060000}"/>
    <cellStyle name="Celda de comprobación 43" xfId="977" xr:uid="{00000000-0005-0000-0000-000066060000}"/>
    <cellStyle name="Celda de comprobación 43 2" xfId="2724" xr:uid="{00000000-0005-0000-0000-000067060000}"/>
    <cellStyle name="Celda de comprobación 44" xfId="978" xr:uid="{00000000-0005-0000-0000-000068060000}"/>
    <cellStyle name="Celda de comprobación 44 2" xfId="2725" xr:uid="{00000000-0005-0000-0000-000069060000}"/>
    <cellStyle name="Celda de comprobación 45" xfId="979" xr:uid="{00000000-0005-0000-0000-00006A060000}"/>
    <cellStyle name="Celda de comprobación 45 2" xfId="2726" xr:uid="{00000000-0005-0000-0000-00006B060000}"/>
    <cellStyle name="Celda de comprobación 46" xfId="980" xr:uid="{00000000-0005-0000-0000-00006C060000}"/>
    <cellStyle name="Celda de comprobación 5" xfId="981" xr:uid="{00000000-0005-0000-0000-00006D060000}"/>
    <cellStyle name="Celda de comprobación 6" xfId="982" xr:uid="{00000000-0005-0000-0000-00006E060000}"/>
    <cellStyle name="Celda de comprobación 7" xfId="983" xr:uid="{00000000-0005-0000-0000-00006F060000}"/>
    <cellStyle name="Celda de comprobación 8" xfId="984" xr:uid="{00000000-0005-0000-0000-000070060000}"/>
    <cellStyle name="Celda de comprobación 9" xfId="985" xr:uid="{00000000-0005-0000-0000-000071060000}"/>
    <cellStyle name="Celda vinculada" xfId="2052" builtinId="24" customBuiltin="1"/>
    <cellStyle name="Celda vinculada 1" xfId="986" xr:uid="{00000000-0005-0000-0000-000073060000}"/>
    <cellStyle name="Celda vinculada 10" xfId="987" xr:uid="{00000000-0005-0000-0000-000074060000}"/>
    <cellStyle name="Celda vinculada 11" xfId="988" xr:uid="{00000000-0005-0000-0000-000075060000}"/>
    <cellStyle name="Celda vinculada 12" xfId="989" xr:uid="{00000000-0005-0000-0000-000076060000}"/>
    <cellStyle name="Celda vinculada 13" xfId="990" xr:uid="{00000000-0005-0000-0000-000077060000}"/>
    <cellStyle name="Celda vinculada 14" xfId="991" xr:uid="{00000000-0005-0000-0000-000078060000}"/>
    <cellStyle name="Celda vinculada 15" xfId="992" xr:uid="{00000000-0005-0000-0000-000079060000}"/>
    <cellStyle name="Celda vinculada 16" xfId="993" xr:uid="{00000000-0005-0000-0000-00007A060000}"/>
    <cellStyle name="Celda vinculada 17" xfId="994" xr:uid="{00000000-0005-0000-0000-00007B060000}"/>
    <cellStyle name="Celda vinculada 18" xfId="995" xr:uid="{00000000-0005-0000-0000-00007C060000}"/>
    <cellStyle name="Celda vinculada 19" xfId="996" xr:uid="{00000000-0005-0000-0000-00007D060000}"/>
    <cellStyle name="Celda vinculada 2" xfId="997" xr:uid="{00000000-0005-0000-0000-00007E060000}"/>
    <cellStyle name="Celda vinculada 20" xfId="998" xr:uid="{00000000-0005-0000-0000-00007F060000}"/>
    <cellStyle name="Celda vinculada 21" xfId="999" xr:uid="{00000000-0005-0000-0000-000080060000}"/>
    <cellStyle name="Celda vinculada 22" xfId="1000" xr:uid="{00000000-0005-0000-0000-000081060000}"/>
    <cellStyle name="Celda vinculada 23" xfId="1001" xr:uid="{00000000-0005-0000-0000-000082060000}"/>
    <cellStyle name="Celda vinculada 24" xfId="1002" xr:uid="{00000000-0005-0000-0000-000083060000}"/>
    <cellStyle name="Celda vinculada 25" xfId="1003" xr:uid="{00000000-0005-0000-0000-000084060000}"/>
    <cellStyle name="Celda vinculada 26" xfId="1004" xr:uid="{00000000-0005-0000-0000-000085060000}"/>
    <cellStyle name="Celda vinculada 27" xfId="1005" xr:uid="{00000000-0005-0000-0000-000086060000}"/>
    <cellStyle name="Celda vinculada 28" xfId="1006" xr:uid="{00000000-0005-0000-0000-000087060000}"/>
    <cellStyle name="Celda vinculada 29" xfId="1007" xr:uid="{00000000-0005-0000-0000-000088060000}"/>
    <cellStyle name="Celda vinculada 3" xfId="1008" xr:uid="{00000000-0005-0000-0000-000089060000}"/>
    <cellStyle name="Celda vinculada 30" xfId="1009" xr:uid="{00000000-0005-0000-0000-00008A060000}"/>
    <cellStyle name="Celda vinculada 31" xfId="1010" xr:uid="{00000000-0005-0000-0000-00008B060000}"/>
    <cellStyle name="Celda vinculada 32" xfId="1011" xr:uid="{00000000-0005-0000-0000-00008C060000}"/>
    <cellStyle name="Celda vinculada 33" xfId="1012" xr:uid="{00000000-0005-0000-0000-00008D060000}"/>
    <cellStyle name="Celda vinculada 34" xfId="1013" xr:uid="{00000000-0005-0000-0000-00008E060000}"/>
    <cellStyle name="Celda vinculada 35" xfId="1014" xr:uid="{00000000-0005-0000-0000-00008F060000}"/>
    <cellStyle name="Celda vinculada 36" xfId="1015" xr:uid="{00000000-0005-0000-0000-000090060000}"/>
    <cellStyle name="Celda vinculada 37" xfId="1016" xr:uid="{00000000-0005-0000-0000-000091060000}"/>
    <cellStyle name="Celda vinculada 37 2" xfId="2727" xr:uid="{00000000-0005-0000-0000-000092060000}"/>
    <cellStyle name="Celda vinculada 38" xfId="1017" xr:uid="{00000000-0005-0000-0000-000093060000}"/>
    <cellStyle name="Celda vinculada 38 2" xfId="2728" xr:uid="{00000000-0005-0000-0000-000094060000}"/>
    <cellStyle name="Celda vinculada 39" xfId="1018" xr:uid="{00000000-0005-0000-0000-000095060000}"/>
    <cellStyle name="Celda vinculada 39 2" xfId="2729" xr:uid="{00000000-0005-0000-0000-000096060000}"/>
    <cellStyle name="Celda vinculada 4" xfId="1019" xr:uid="{00000000-0005-0000-0000-000097060000}"/>
    <cellStyle name="Celda vinculada 40" xfId="1020" xr:uid="{00000000-0005-0000-0000-000098060000}"/>
    <cellStyle name="Celda vinculada 40 2" xfId="2730" xr:uid="{00000000-0005-0000-0000-000099060000}"/>
    <cellStyle name="Celda vinculada 41" xfId="1021" xr:uid="{00000000-0005-0000-0000-00009A060000}"/>
    <cellStyle name="Celda vinculada 41 2" xfId="2731" xr:uid="{00000000-0005-0000-0000-00009B060000}"/>
    <cellStyle name="Celda vinculada 42" xfId="1022" xr:uid="{00000000-0005-0000-0000-00009C060000}"/>
    <cellStyle name="Celda vinculada 42 2" xfId="2732" xr:uid="{00000000-0005-0000-0000-00009D060000}"/>
    <cellStyle name="Celda vinculada 43" xfId="1023" xr:uid="{00000000-0005-0000-0000-00009E060000}"/>
    <cellStyle name="Celda vinculada 43 2" xfId="2733" xr:uid="{00000000-0005-0000-0000-00009F060000}"/>
    <cellStyle name="Celda vinculada 44" xfId="1024" xr:uid="{00000000-0005-0000-0000-0000A0060000}"/>
    <cellStyle name="Celda vinculada 44 2" xfId="2734" xr:uid="{00000000-0005-0000-0000-0000A1060000}"/>
    <cellStyle name="Celda vinculada 45" xfId="1025" xr:uid="{00000000-0005-0000-0000-0000A2060000}"/>
    <cellStyle name="Celda vinculada 45 2" xfId="2735" xr:uid="{00000000-0005-0000-0000-0000A3060000}"/>
    <cellStyle name="Celda vinculada 5" xfId="1026" xr:uid="{00000000-0005-0000-0000-0000A4060000}"/>
    <cellStyle name="Celda vinculada 6" xfId="1027" xr:uid="{00000000-0005-0000-0000-0000A5060000}"/>
    <cellStyle name="Celda vinculada 7" xfId="1028" xr:uid="{00000000-0005-0000-0000-0000A6060000}"/>
    <cellStyle name="Celda vinculada 8" xfId="1029" xr:uid="{00000000-0005-0000-0000-0000A7060000}"/>
    <cellStyle name="Celda vinculada 9" xfId="1030" xr:uid="{00000000-0005-0000-0000-0000A8060000}"/>
    <cellStyle name="Encabezado 4" xfId="2046" builtinId="19" customBuiltin="1"/>
    <cellStyle name="Encabezado 4 1" xfId="1031" xr:uid="{00000000-0005-0000-0000-0000AA060000}"/>
    <cellStyle name="Encabezado 4 10" xfId="1032" xr:uid="{00000000-0005-0000-0000-0000AB060000}"/>
    <cellStyle name="Encabezado 4 11" xfId="1033" xr:uid="{00000000-0005-0000-0000-0000AC060000}"/>
    <cellStyle name="Encabezado 4 12" xfId="1034" xr:uid="{00000000-0005-0000-0000-0000AD060000}"/>
    <cellStyle name="Encabezado 4 13" xfId="1035" xr:uid="{00000000-0005-0000-0000-0000AE060000}"/>
    <cellStyle name="Encabezado 4 14" xfId="1036" xr:uid="{00000000-0005-0000-0000-0000AF060000}"/>
    <cellStyle name="Encabezado 4 15" xfId="1037" xr:uid="{00000000-0005-0000-0000-0000B0060000}"/>
    <cellStyle name="Encabezado 4 16" xfId="1038" xr:uid="{00000000-0005-0000-0000-0000B1060000}"/>
    <cellStyle name="Encabezado 4 17" xfId="1039" xr:uid="{00000000-0005-0000-0000-0000B2060000}"/>
    <cellStyle name="Encabezado 4 18" xfId="1040" xr:uid="{00000000-0005-0000-0000-0000B3060000}"/>
    <cellStyle name="Encabezado 4 19" xfId="1041" xr:uid="{00000000-0005-0000-0000-0000B4060000}"/>
    <cellStyle name="Encabezado 4 2" xfId="1042" xr:uid="{00000000-0005-0000-0000-0000B5060000}"/>
    <cellStyle name="Encabezado 4 20" xfId="1043" xr:uid="{00000000-0005-0000-0000-0000B6060000}"/>
    <cellStyle name="Encabezado 4 21" xfId="1044" xr:uid="{00000000-0005-0000-0000-0000B7060000}"/>
    <cellStyle name="Encabezado 4 22" xfId="1045" xr:uid="{00000000-0005-0000-0000-0000B8060000}"/>
    <cellStyle name="Encabezado 4 23" xfId="1046" xr:uid="{00000000-0005-0000-0000-0000B9060000}"/>
    <cellStyle name="Encabezado 4 24" xfId="1047" xr:uid="{00000000-0005-0000-0000-0000BA060000}"/>
    <cellStyle name="Encabezado 4 25" xfId="1048" xr:uid="{00000000-0005-0000-0000-0000BB060000}"/>
    <cellStyle name="Encabezado 4 26" xfId="1049" xr:uid="{00000000-0005-0000-0000-0000BC060000}"/>
    <cellStyle name="Encabezado 4 27" xfId="1050" xr:uid="{00000000-0005-0000-0000-0000BD060000}"/>
    <cellStyle name="Encabezado 4 28" xfId="1051" xr:uid="{00000000-0005-0000-0000-0000BE060000}"/>
    <cellStyle name="Encabezado 4 29" xfId="1052" xr:uid="{00000000-0005-0000-0000-0000BF060000}"/>
    <cellStyle name="Encabezado 4 3" xfId="1053" xr:uid="{00000000-0005-0000-0000-0000C0060000}"/>
    <cellStyle name="Encabezado 4 30" xfId="1054" xr:uid="{00000000-0005-0000-0000-0000C1060000}"/>
    <cellStyle name="Encabezado 4 31" xfId="1055" xr:uid="{00000000-0005-0000-0000-0000C2060000}"/>
    <cellStyle name="Encabezado 4 32" xfId="1056" xr:uid="{00000000-0005-0000-0000-0000C3060000}"/>
    <cellStyle name="Encabezado 4 33" xfId="1057" xr:uid="{00000000-0005-0000-0000-0000C4060000}"/>
    <cellStyle name="Encabezado 4 34" xfId="1058" xr:uid="{00000000-0005-0000-0000-0000C5060000}"/>
    <cellStyle name="Encabezado 4 35" xfId="1059" xr:uid="{00000000-0005-0000-0000-0000C6060000}"/>
    <cellStyle name="Encabezado 4 36" xfId="1060" xr:uid="{00000000-0005-0000-0000-0000C7060000}"/>
    <cellStyle name="Encabezado 4 37" xfId="1061" xr:uid="{00000000-0005-0000-0000-0000C8060000}"/>
    <cellStyle name="Encabezado 4 37 2" xfId="2736" xr:uid="{00000000-0005-0000-0000-0000C9060000}"/>
    <cellStyle name="Encabezado 4 38" xfId="1062" xr:uid="{00000000-0005-0000-0000-0000CA060000}"/>
    <cellStyle name="Encabezado 4 38 2" xfId="2737" xr:uid="{00000000-0005-0000-0000-0000CB060000}"/>
    <cellStyle name="Encabezado 4 39" xfId="1063" xr:uid="{00000000-0005-0000-0000-0000CC060000}"/>
    <cellStyle name="Encabezado 4 39 2" xfId="2738" xr:uid="{00000000-0005-0000-0000-0000CD060000}"/>
    <cellStyle name="Encabezado 4 4" xfId="1064" xr:uid="{00000000-0005-0000-0000-0000CE060000}"/>
    <cellStyle name="Encabezado 4 40" xfId="1065" xr:uid="{00000000-0005-0000-0000-0000CF060000}"/>
    <cellStyle name="Encabezado 4 40 2" xfId="2739" xr:uid="{00000000-0005-0000-0000-0000D0060000}"/>
    <cellStyle name="Encabezado 4 41" xfId="1066" xr:uid="{00000000-0005-0000-0000-0000D1060000}"/>
    <cellStyle name="Encabezado 4 41 2" xfId="2740" xr:uid="{00000000-0005-0000-0000-0000D2060000}"/>
    <cellStyle name="Encabezado 4 42" xfId="1067" xr:uid="{00000000-0005-0000-0000-0000D3060000}"/>
    <cellStyle name="Encabezado 4 42 2" xfId="2741" xr:uid="{00000000-0005-0000-0000-0000D4060000}"/>
    <cellStyle name="Encabezado 4 43" xfId="1068" xr:uid="{00000000-0005-0000-0000-0000D5060000}"/>
    <cellStyle name="Encabezado 4 43 2" xfId="2742" xr:uid="{00000000-0005-0000-0000-0000D6060000}"/>
    <cellStyle name="Encabezado 4 44" xfId="1069" xr:uid="{00000000-0005-0000-0000-0000D7060000}"/>
    <cellStyle name="Encabezado 4 44 2" xfId="2743" xr:uid="{00000000-0005-0000-0000-0000D8060000}"/>
    <cellStyle name="Encabezado 4 45" xfId="1070" xr:uid="{00000000-0005-0000-0000-0000D9060000}"/>
    <cellStyle name="Encabezado 4 45 2" xfId="2744" xr:uid="{00000000-0005-0000-0000-0000DA060000}"/>
    <cellStyle name="Encabezado 4 5" xfId="1071" xr:uid="{00000000-0005-0000-0000-0000DB060000}"/>
    <cellStyle name="Encabezado 4 6" xfId="1072" xr:uid="{00000000-0005-0000-0000-0000DC060000}"/>
    <cellStyle name="Encabezado 4 7" xfId="1073" xr:uid="{00000000-0005-0000-0000-0000DD060000}"/>
    <cellStyle name="Encabezado 4 8" xfId="1074" xr:uid="{00000000-0005-0000-0000-0000DE060000}"/>
    <cellStyle name="Encabezado 4 9" xfId="1075" xr:uid="{00000000-0005-0000-0000-0000DF060000}"/>
    <cellStyle name="Énfasis1" xfId="2058" builtinId="29" customBuiltin="1"/>
    <cellStyle name="Énfasis1 1" xfId="1076" xr:uid="{00000000-0005-0000-0000-0000E1060000}"/>
    <cellStyle name="Énfasis1 10" xfId="1077" xr:uid="{00000000-0005-0000-0000-0000E2060000}"/>
    <cellStyle name="Énfasis1 11" xfId="1078" xr:uid="{00000000-0005-0000-0000-0000E3060000}"/>
    <cellStyle name="Énfasis1 12" xfId="1079" xr:uid="{00000000-0005-0000-0000-0000E4060000}"/>
    <cellStyle name="Énfasis1 13" xfId="1080" xr:uid="{00000000-0005-0000-0000-0000E5060000}"/>
    <cellStyle name="Énfasis1 14" xfId="1081" xr:uid="{00000000-0005-0000-0000-0000E6060000}"/>
    <cellStyle name="Énfasis1 15" xfId="1082" xr:uid="{00000000-0005-0000-0000-0000E7060000}"/>
    <cellStyle name="Énfasis1 16" xfId="1083" xr:uid="{00000000-0005-0000-0000-0000E8060000}"/>
    <cellStyle name="Énfasis1 17" xfId="1084" xr:uid="{00000000-0005-0000-0000-0000E9060000}"/>
    <cellStyle name="Énfasis1 18" xfId="1085" xr:uid="{00000000-0005-0000-0000-0000EA060000}"/>
    <cellStyle name="Énfasis1 19" xfId="1086" xr:uid="{00000000-0005-0000-0000-0000EB060000}"/>
    <cellStyle name="Énfasis1 2" xfId="1087" xr:uid="{00000000-0005-0000-0000-0000EC060000}"/>
    <cellStyle name="Énfasis1 20" xfId="1088" xr:uid="{00000000-0005-0000-0000-0000ED060000}"/>
    <cellStyle name="Énfasis1 21" xfId="1089" xr:uid="{00000000-0005-0000-0000-0000EE060000}"/>
    <cellStyle name="Énfasis1 22" xfId="1090" xr:uid="{00000000-0005-0000-0000-0000EF060000}"/>
    <cellStyle name="Énfasis1 23" xfId="1091" xr:uid="{00000000-0005-0000-0000-0000F0060000}"/>
    <cellStyle name="Énfasis1 24" xfId="1092" xr:uid="{00000000-0005-0000-0000-0000F1060000}"/>
    <cellStyle name="Énfasis1 25" xfId="1093" xr:uid="{00000000-0005-0000-0000-0000F2060000}"/>
    <cellStyle name="Énfasis1 26" xfId="1094" xr:uid="{00000000-0005-0000-0000-0000F3060000}"/>
    <cellStyle name="Énfasis1 27" xfId="1095" xr:uid="{00000000-0005-0000-0000-0000F4060000}"/>
    <cellStyle name="Énfasis1 28" xfId="1096" xr:uid="{00000000-0005-0000-0000-0000F5060000}"/>
    <cellStyle name="Énfasis1 29" xfId="1097" xr:uid="{00000000-0005-0000-0000-0000F6060000}"/>
    <cellStyle name="Énfasis1 3" xfId="1098" xr:uid="{00000000-0005-0000-0000-0000F7060000}"/>
    <cellStyle name="Énfasis1 30" xfId="1099" xr:uid="{00000000-0005-0000-0000-0000F8060000}"/>
    <cellStyle name="Énfasis1 31" xfId="1100" xr:uid="{00000000-0005-0000-0000-0000F9060000}"/>
    <cellStyle name="Énfasis1 32" xfId="1101" xr:uid="{00000000-0005-0000-0000-0000FA060000}"/>
    <cellStyle name="Énfasis1 33" xfId="1102" xr:uid="{00000000-0005-0000-0000-0000FB060000}"/>
    <cellStyle name="Énfasis1 34" xfId="1103" xr:uid="{00000000-0005-0000-0000-0000FC060000}"/>
    <cellStyle name="Énfasis1 35" xfId="1104" xr:uid="{00000000-0005-0000-0000-0000FD060000}"/>
    <cellStyle name="Énfasis1 36" xfId="1105" xr:uid="{00000000-0005-0000-0000-0000FE060000}"/>
    <cellStyle name="Énfasis1 37" xfId="1106" xr:uid="{00000000-0005-0000-0000-0000FF060000}"/>
    <cellStyle name="Énfasis1 37 2" xfId="2745" xr:uid="{00000000-0005-0000-0000-000000070000}"/>
    <cellStyle name="Énfasis1 38" xfId="1107" xr:uid="{00000000-0005-0000-0000-000001070000}"/>
    <cellStyle name="Énfasis1 38 2" xfId="2746" xr:uid="{00000000-0005-0000-0000-000002070000}"/>
    <cellStyle name="Énfasis1 39" xfId="1108" xr:uid="{00000000-0005-0000-0000-000003070000}"/>
    <cellStyle name="Énfasis1 39 2" xfId="2747" xr:uid="{00000000-0005-0000-0000-000004070000}"/>
    <cellStyle name="Énfasis1 4" xfId="1109" xr:uid="{00000000-0005-0000-0000-000005070000}"/>
    <cellStyle name="Énfasis1 40" xfId="1110" xr:uid="{00000000-0005-0000-0000-000006070000}"/>
    <cellStyle name="Énfasis1 40 2" xfId="2748" xr:uid="{00000000-0005-0000-0000-000007070000}"/>
    <cellStyle name="Énfasis1 41" xfId="1111" xr:uid="{00000000-0005-0000-0000-000008070000}"/>
    <cellStyle name="Énfasis1 41 2" xfId="2749" xr:uid="{00000000-0005-0000-0000-000009070000}"/>
    <cellStyle name="Énfasis1 42" xfId="1112" xr:uid="{00000000-0005-0000-0000-00000A070000}"/>
    <cellStyle name="Énfasis1 42 2" xfId="2750" xr:uid="{00000000-0005-0000-0000-00000B070000}"/>
    <cellStyle name="Énfasis1 43" xfId="1113" xr:uid="{00000000-0005-0000-0000-00000C070000}"/>
    <cellStyle name="Énfasis1 43 2" xfId="2751" xr:uid="{00000000-0005-0000-0000-00000D070000}"/>
    <cellStyle name="Énfasis1 44" xfId="1114" xr:uid="{00000000-0005-0000-0000-00000E070000}"/>
    <cellStyle name="Énfasis1 44 2" xfId="2752" xr:uid="{00000000-0005-0000-0000-00000F070000}"/>
    <cellStyle name="Énfasis1 45" xfId="1115" xr:uid="{00000000-0005-0000-0000-000010070000}"/>
    <cellStyle name="Énfasis1 45 2" xfId="2753" xr:uid="{00000000-0005-0000-0000-000011070000}"/>
    <cellStyle name="Énfasis1 46" xfId="1116" xr:uid="{00000000-0005-0000-0000-000012070000}"/>
    <cellStyle name="Énfasis1 5" xfId="1117" xr:uid="{00000000-0005-0000-0000-000013070000}"/>
    <cellStyle name="Énfasis1 6" xfId="1118" xr:uid="{00000000-0005-0000-0000-000014070000}"/>
    <cellStyle name="Énfasis1 7" xfId="1119" xr:uid="{00000000-0005-0000-0000-000015070000}"/>
    <cellStyle name="Énfasis1 8" xfId="1120" xr:uid="{00000000-0005-0000-0000-000016070000}"/>
    <cellStyle name="Énfasis1 9" xfId="1121" xr:uid="{00000000-0005-0000-0000-000017070000}"/>
    <cellStyle name="Énfasis2" xfId="2062" builtinId="33" customBuiltin="1"/>
    <cellStyle name="Énfasis2 1" xfId="1122" xr:uid="{00000000-0005-0000-0000-000019070000}"/>
    <cellStyle name="Énfasis2 10" xfId="1123" xr:uid="{00000000-0005-0000-0000-00001A070000}"/>
    <cellStyle name="Énfasis2 11" xfId="1124" xr:uid="{00000000-0005-0000-0000-00001B070000}"/>
    <cellStyle name="Énfasis2 12" xfId="1125" xr:uid="{00000000-0005-0000-0000-00001C070000}"/>
    <cellStyle name="Énfasis2 13" xfId="1126" xr:uid="{00000000-0005-0000-0000-00001D070000}"/>
    <cellStyle name="Énfasis2 14" xfId="1127" xr:uid="{00000000-0005-0000-0000-00001E070000}"/>
    <cellStyle name="Énfasis2 15" xfId="1128" xr:uid="{00000000-0005-0000-0000-00001F070000}"/>
    <cellStyle name="Énfasis2 16" xfId="1129" xr:uid="{00000000-0005-0000-0000-000020070000}"/>
    <cellStyle name="Énfasis2 17" xfId="1130" xr:uid="{00000000-0005-0000-0000-000021070000}"/>
    <cellStyle name="Énfasis2 18" xfId="1131" xr:uid="{00000000-0005-0000-0000-000022070000}"/>
    <cellStyle name="Énfasis2 19" xfId="1132" xr:uid="{00000000-0005-0000-0000-000023070000}"/>
    <cellStyle name="Énfasis2 2" xfId="1133" xr:uid="{00000000-0005-0000-0000-000024070000}"/>
    <cellStyle name="Énfasis2 20" xfId="1134" xr:uid="{00000000-0005-0000-0000-000025070000}"/>
    <cellStyle name="Énfasis2 21" xfId="1135" xr:uid="{00000000-0005-0000-0000-000026070000}"/>
    <cellStyle name="Énfasis2 22" xfId="1136" xr:uid="{00000000-0005-0000-0000-000027070000}"/>
    <cellStyle name="Énfasis2 23" xfId="1137" xr:uid="{00000000-0005-0000-0000-000028070000}"/>
    <cellStyle name="Énfasis2 24" xfId="1138" xr:uid="{00000000-0005-0000-0000-000029070000}"/>
    <cellStyle name="Énfasis2 25" xfId="1139" xr:uid="{00000000-0005-0000-0000-00002A070000}"/>
    <cellStyle name="Énfasis2 26" xfId="1140" xr:uid="{00000000-0005-0000-0000-00002B070000}"/>
    <cellStyle name="Énfasis2 27" xfId="1141" xr:uid="{00000000-0005-0000-0000-00002C070000}"/>
    <cellStyle name="Énfasis2 28" xfId="1142" xr:uid="{00000000-0005-0000-0000-00002D070000}"/>
    <cellStyle name="Énfasis2 29" xfId="1143" xr:uid="{00000000-0005-0000-0000-00002E070000}"/>
    <cellStyle name="Énfasis2 3" xfId="1144" xr:uid="{00000000-0005-0000-0000-00002F070000}"/>
    <cellStyle name="Énfasis2 30" xfId="1145" xr:uid="{00000000-0005-0000-0000-000030070000}"/>
    <cellStyle name="Énfasis2 31" xfId="1146" xr:uid="{00000000-0005-0000-0000-000031070000}"/>
    <cellStyle name="Énfasis2 32" xfId="1147" xr:uid="{00000000-0005-0000-0000-000032070000}"/>
    <cellStyle name="Énfasis2 33" xfId="1148" xr:uid="{00000000-0005-0000-0000-000033070000}"/>
    <cellStyle name="Énfasis2 34" xfId="1149" xr:uid="{00000000-0005-0000-0000-000034070000}"/>
    <cellStyle name="Énfasis2 35" xfId="1150" xr:uid="{00000000-0005-0000-0000-000035070000}"/>
    <cellStyle name="Énfasis2 36" xfId="1151" xr:uid="{00000000-0005-0000-0000-000036070000}"/>
    <cellStyle name="Énfasis2 37" xfId="1152" xr:uid="{00000000-0005-0000-0000-000037070000}"/>
    <cellStyle name="Énfasis2 37 2" xfId="2754" xr:uid="{00000000-0005-0000-0000-000038070000}"/>
    <cellStyle name="Énfasis2 38" xfId="1153" xr:uid="{00000000-0005-0000-0000-000039070000}"/>
    <cellStyle name="Énfasis2 38 2" xfId="2755" xr:uid="{00000000-0005-0000-0000-00003A070000}"/>
    <cellStyle name="Énfasis2 39" xfId="1154" xr:uid="{00000000-0005-0000-0000-00003B070000}"/>
    <cellStyle name="Énfasis2 39 2" xfId="2756" xr:uid="{00000000-0005-0000-0000-00003C070000}"/>
    <cellStyle name="Énfasis2 4" xfId="1155" xr:uid="{00000000-0005-0000-0000-00003D070000}"/>
    <cellStyle name="Énfasis2 40" xfId="1156" xr:uid="{00000000-0005-0000-0000-00003E070000}"/>
    <cellStyle name="Énfasis2 40 2" xfId="2757" xr:uid="{00000000-0005-0000-0000-00003F070000}"/>
    <cellStyle name="Énfasis2 41" xfId="1157" xr:uid="{00000000-0005-0000-0000-000040070000}"/>
    <cellStyle name="Énfasis2 41 2" xfId="2758" xr:uid="{00000000-0005-0000-0000-000041070000}"/>
    <cellStyle name="Énfasis2 42" xfId="1158" xr:uid="{00000000-0005-0000-0000-000042070000}"/>
    <cellStyle name="Énfasis2 42 2" xfId="2759" xr:uid="{00000000-0005-0000-0000-000043070000}"/>
    <cellStyle name="Énfasis2 43" xfId="1159" xr:uid="{00000000-0005-0000-0000-000044070000}"/>
    <cellStyle name="Énfasis2 43 2" xfId="2760" xr:uid="{00000000-0005-0000-0000-000045070000}"/>
    <cellStyle name="Énfasis2 44" xfId="1160" xr:uid="{00000000-0005-0000-0000-000046070000}"/>
    <cellStyle name="Énfasis2 44 2" xfId="2761" xr:uid="{00000000-0005-0000-0000-000047070000}"/>
    <cellStyle name="Énfasis2 45" xfId="1161" xr:uid="{00000000-0005-0000-0000-000048070000}"/>
    <cellStyle name="Énfasis2 45 2" xfId="2762" xr:uid="{00000000-0005-0000-0000-000049070000}"/>
    <cellStyle name="Énfasis2 46" xfId="1162" xr:uid="{00000000-0005-0000-0000-00004A070000}"/>
    <cellStyle name="Énfasis2 5" xfId="1163" xr:uid="{00000000-0005-0000-0000-00004B070000}"/>
    <cellStyle name="Énfasis2 6" xfId="1164" xr:uid="{00000000-0005-0000-0000-00004C070000}"/>
    <cellStyle name="Énfasis2 7" xfId="1165" xr:uid="{00000000-0005-0000-0000-00004D070000}"/>
    <cellStyle name="Énfasis2 8" xfId="1166" xr:uid="{00000000-0005-0000-0000-00004E070000}"/>
    <cellStyle name="Énfasis2 9" xfId="1167" xr:uid="{00000000-0005-0000-0000-00004F070000}"/>
    <cellStyle name="Énfasis3" xfId="2066" builtinId="37" customBuiltin="1"/>
    <cellStyle name="Énfasis3 1" xfId="1168" xr:uid="{00000000-0005-0000-0000-000051070000}"/>
    <cellStyle name="Énfasis3 10" xfId="1169" xr:uid="{00000000-0005-0000-0000-000052070000}"/>
    <cellStyle name="Énfasis3 11" xfId="1170" xr:uid="{00000000-0005-0000-0000-000053070000}"/>
    <cellStyle name="Énfasis3 12" xfId="1171" xr:uid="{00000000-0005-0000-0000-000054070000}"/>
    <cellStyle name="Énfasis3 13" xfId="1172" xr:uid="{00000000-0005-0000-0000-000055070000}"/>
    <cellStyle name="Énfasis3 14" xfId="1173" xr:uid="{00000000-0005-0000-0000-000056070000}"/>
    <cellStyle name="Énfasis3 15" xfId="1174" xr:uid="{00000000-0005-0000-0000-000057070000}"/>
    <cellStyle name="Énfasis3 16" xfId="1175" xr:uid="{00000000-0005-0000-0000-000058070000}"/>
    <cellStyle name="Énfasis3 17" xfId="1176" xr:uid="{00000000-0005-0000-0000-000059070000}"/>
    <cellStyle name="Énfasis3 18" xfId="1177" xr:uid="{00000000-0005-0000-0000-00005A070000}"/>
    <cellStyle name="Énfasis3 19" xfId="1178" xr:uid="{00000000-0005-0000-0000-00005B070000}"/>
    <cellStyle name="Énfasis3 2" xfId="1179" xr:uid="{00000000-0005-0000-0000-00005C070000}"/>
    <cellStyle name="Énfasis3 20" xfId="1180" xr:uid="{00000000-0005-0000-0000-00005D070000}"/>
    <cellStyle name="Énfasis3 21" xfId="1181" xr:uid="{00000000-0005-0000-0000-00005E070000}"/>
    <cellStyle name="Énfasis3 22" xfId="1182" xr:uid="{00000000-0005-0000-0000-00005F070000}"/>
    <cellStyle name="Énfasis3 23" xfId="1183" xr:uid="{00000000-0005-0000-0000-000060070000}"/>
    <cellStyle name="Énfasis3 24" xfId="1184" xr:uid="{00000000-0005-0000-0000-000061070000}"/>
    <cellStyle name="Énfasis3 25" xfId="1185" xr:uid="{00000000-0005-0000-0000-000062070000}"/>
    <cellStyle name="Énfasis3 26" xfId="1186" xr:uid="{00000000-0005-0000-0000-000063070000}"/>
    <cellStyle name="Énfasis3 27" xfId="1187" xr:uid="{00000000-0005-0000-0000-000064070000}"/>
    <cellStyle name="Énfasis3 28" xfId="1188" xr:uid="{00000000-0005-0000-0000-000065070000}"/>
    <cellStyle name="Énfasis3 29" xfId="1189" xr:uid="{00000000-0005-0000-0000-000066070000}"/>
    <cellStyle name="Énfasis3 3" xfId="1190" xr:uid="{00000000-0005-0000-0000-000067070000}"/>
    <cellStyle name="Énfasis3 30" xfId="1191" xr:uid="{00000000-0005-0000-0000-000068070000}"/>
    <cellStyle name="Énfasis3 31" xfId="1192" xr:uid="{00000000-0005-0000-0000-000069070000}"/>
    <cellStyle name="Énfasis3 32" xfId="1193" xr:uid="{00000000-0005-0000-0000-00006A070000}"/>
    <cellStyle name="Énfasis3 33" xfId="1194" xr:uid="{00000000-0005-0000-0000-00006B070000}"/>
    <cellStyle name="Énfasis3 34" xfId="1195" xr:uid="{00000000-0005-0000-0000-00006C070000}"/>
    <cellStyle name="Énfasis3 35" xfId="1196" xr:uid="{00000000-0005-0000-0000-00006D070000}"/>
    <cellStyle name="Énfasis3 36" xfId="1197" xr:uid="{00000000-0005-0000-0000-00006E070000}"/>
    <cellStyle name="Énfasis3 37" xfId="1198" xr:uid="{00000000-0005-0000-0000-00006F070000}"/>
    <cellStyle name="Énfasis3 37 2" xfId="2763" xr:uid="{00000000-0005-0000-0000-000070070000}"/>
    <cellStyle name="Énfasis3 38" xfId="1199" xr:uid="{00000000-0005-0000-0000-000071070000}"/>
    <cellStyle name="Énfasis3 38 2" xfId="2764" xr:uid="{00000000-0005-0000-0000-000072070000}"/>
    <cellStyle name="Énfasis3 39" xfId="1200" xr:uid="{00000000-0005-0000-0000-000073070000}"/>
    <cellStyle name="Énfasis3 39 2" xfId="2765" xr:uid="{00000000-0005-0000-0000-000074070000}"/>
    <cellStyle name="Énfasis3 4" xfId="1201" xr:uid="{00000000-0005-0000-0000-000075070000}"/>
    <cellStyle name="Énfasis3 40" xfId="1202" xr:uid="{00000000-0005-0000-0000-000076070000}"/>
    <cellStyle name="Énfasis3 40 2" xfId="2766" xr:uid="{00000000-0005-0000-0000-000077070000}"/>
    <cellStyle name="Énfasis3 41" xfId="1203" xr:uid="{00000000-0005-0000-0000-000078070000}"/>
    <cellStyle name="Énfasis3 41 2" xfId="2767" xr:uid="{00000000-0005-0000-0000-000079070000}"/>
    <cellStyle name="Énfasis3 42" xfId="1204" xr:uid="{00000000-0005-0000-0000-00007A070000}"/>
    <cellStyle name="Énfasis3 42 2" xfId="2768" xr:uid="{00000000-0005-0000-0000-00007B070000}"/>
    <cellStyle name="Énfasis3 43" xfId="1205" xr:uid="{00000000-0005-0000-0000-00007C070000}"/>
    <cellStyle name="Énfasis3 43 2" xfId="2769" xr:uid="{00000000-0005-0000-0000-00007D070000}"/>
    <cellStyle name="Énfasis3 44" xfId="1206" xr:uid="{00000000-0005-0000-0000-00007E070000}"/>
    <cellStyle name="Énfasis3 44 2" xfId="2770" xr:uid="{00000000-0005-0000-0000-00007F070000}"/>
    <cellStyle name="Énfasis3 45" xfId="1207" xr:uid="{00000000-0005-0000-0000-000080070000}"/>
    <cellStyle name="Énfasis3 45 2" xfId="2771" xr:uid="{00000000-0005-0000-0000-000081070000}"/>
    <cellStyle name="Énfasis3 46" xfId="1208" xr:uid="{00000000-0005-0000-0000-000082070000}"/>
    <cellStyle name="Énfasis3 5" xfId="1209" xr:uid="{00000000-0005-0000-0000-000083070000}"/>
    <cellStyle name="Énfasis3 6" xfId="1210" xr:uid="{00000000-0005-0000-0000-000084070000}"/>
    <cellStyle name="Énfasis3 7" xfId="1211" xr:uid="{00000000-0005-0000-0000-000085070000}"/>
    <cellStyle name="Énfasis3 8" xfId="1212" xr:uid="{00000000-0005-0000-0000-000086070000}"/>
    <cellStyle name="Énfasis3 9" xfId="1213" xr:uid="{00000000-0005-0000-0000-000087070000}"/>
    <cellStyle name="Énfasis4" xfId="2070" builtinId="41" customBuiltin="1"/>
    <cellStyle name="Énfasis4 1" xfId="1214" xr:uid="{00000000-0005-0000-0000-000089070000}"/>
    <cellStyle name="Énfasis4 10" xfId="1215" xr:uid="{00000000-0005-0000-0000-00008A070000}"/>
    <cellStyle name="Énfasis4 11" xfId="1216" xr:uid="{00000000-0005-0000-0000-00008B070000}"/>
    <cellStyle name="Énfasis4 12" xfId="1217" xr:uid="{00000000-0005-0000-0000-00008C070000}"/>
    <cellStyle name="Énfasis4 13" xfId="1218" xr:uid="{00000000-0005-0000-0000-00008D070000}"/>
    <cellStyle name="Énfasis4 14" xfId="1219" xr:uid="{00000000-0005-0000-0000-00008E070000}"/>
    <cellStyle name="Énfasis4 15" xfId="1220" xr:uid="{00000000-0005-0000-0000-00008F070000}"/>
    <cellStyle name="Énfasis4 16" xfId="1221" xr:uid="{00000000-0005-0000-0000-000090070000}"/>
    <cellStyle name="Énfasis4 17" xfId="1222" xr:uid="{00000000-0005-0000-0000-000091070000}"/>
    <cellStyle name="Énfasis4 18" xfId="1223" xr:uid="{00000000-0005-0000-0000-000092070000}"/>
    <cellStyle name="Énfasis4 19" xfId="1224" xr:uid="{00000000-0005-0000-0000-000093070000}"/>
    <cellStyle name="Énfasis4 2" xfId="1225" xr:uid="{00000000-0005-0000-0000-000094070000}"/>
    <cellStyle name="Énfasis4 20" xfId="1226" xr:uid="{00000000-0005-0000-0000-000095070000}"/>
    <cellStyle name="Énfasis4 21" xfId="1227" xr:uid="{00000000-0005-0000-0000-000096070000}"/>
    <cellStyle name="Énfasis4 22" xfId="1228" xr:uid="{00000000-0005-0000-0000-000097070000}"/>
    <cellStyle name="Énfasis4 23" xfId="1229" xr:uid="{00000000-0005-0000-0000-000098070000}"/>
    <cellStyle name="Énfasis4 24" xfId="1230" xr:uid="{00000000-0005-0000-0000-000099070000}"/>
    <cellStyle name="Énfasis4 25" xfId="1231" xr:uid="{00000000-0005-0000-0000-00009A070000}"/>
    <cellStyle name="Énfasis4 26" xfId="1232" xr:uid="{00000000-0005-0000-0000-00009B070000}"/>
    <cellStyle name="Énfasis4 27" xfId="1233" xr:uid="{00000000-0005-0000-0000-00009C070000}"/>
    <cellStyle name="Énfasis4 28" xfId="1234" xr:uid="{00000000-0005-0000-0000-00009D070000}"/>
    <cellStyle name="Énfasis4 29" xfId="1235" xr:uid="{00000000-0005-0000-0000-00009E070000}"/>
    <cellStyle name="Énfasis4 3" xfId="1236" xr:uid="{00000000-0005-0000-0000-00009F070000}"/>
    <cellStyle name="Énfasis4 30" xfId="1237" xr:uid="{00000000-0005-0000-0000-0000A0070000}"/>
    <cellStyle name="Énfasis4 31" xfId="1238" xr:uid="{00000000-0005-0000-0000-0000A1070000}"/>
    <cellStyle name="Énfasis4 32" xfId="1239" xr:uid="{00000000-0005-0000-0000-0000A2070000}"/>
    <cellStyle name="Énfasis4 33" xfId="1240" xr:uid="{00000000-0005-0000-0000-0000A3070000}"/>
    <cellStyle name="Énfasis4 34" xfId="1241" xr:uid="{00000000-0005-0000-0000-0000A4070000}"/>
    <cellStyle name="Énfasis4 35" xfId="1242" xr:uid="{00000000-0005-0000-0000-0000A5070000}"/>
    <cellStyle name="Énfasis4 36" xfId="1243" xr:uid="{00000000-0005-0000-0000-0000A6070000}"/>
    <cellStyle name="Énfasis4 37" xfId="1244" xr:uid="{00000000-0005-0000-0000-0000A7070000}"/>
    <cellStyle name="Énfasis4 37 2" xfId="2772" xr:uid="{00000000-0005-0000-0000-0000A8070000}"/>
    <cellStyle name="Énfasis4 38" xfId="1245" xr:uid="{00000000-0005-0000-0000-0000A9070000}"/>
    <cellStyle name="Énfasis4 38 2" xfId="2773" xr:uid="{00000000-0005-0000-0000-0000AA070000}"/>
    <cellStyle name="Énfasis4 39" xfId="1246" xr:uid="{00000000-0005-0000-0000-0000AB070000}"/>
    <cellStyle name="Énfasis4 39 2" xfId="2774" xr:uid="{00000000-0005-0000-0000-0000AC070000}"/>
    <cellStyle name="Énfasis4 4" xfId="1247" xr:uid="{00000000-0005-0000-0000-0000AD070000}"/>
    <cellStyle name="Énfasis4 40" xfId="1248" xr:uid="{00000000-0005-0000-0000-0000AE070000}"/>
    <cellStyle name="Énfasis4 40 2" xfId="2775" xr:uid="{00000000-0005-0000-0000-0000AF070000}"/>
    <cellStyle name="Énfasis4 41" xfId="1249" xr:uid="{00000000-0005-0000-0000-0000B0070000}"/>
    <cellStyle name="Énfasis4 41 2" xfId="2776" xr:uid="{00000000-0005-0000-0000-0000B1070000}"/>
    <cellStyle name="Énfasis4 42" xfId="1250" xr:uid="{00000000-0005-0000-0000-0000B2070000}"/>
    <cellStyle name="Énfasis4 42 2" xfId="2777" xr:uid="{00000000-0005-0000-0000-0000B3070000}"/>
    <cellStyle name="Énfasis4 43" xfId="1251" xr:uid="{00000000-0005-0000-0000-0000B4070000}"/>
    <cellStyle name="Énfasis4 43 2" xfId="2778" xr:uid="{00000000-0005-0000-0000-0000B5070000}"/>
    <cellStyle name="Énfasis4 44" xfId="1252" xr:uid="{00000000-0005-0000-0000-0000B6070000}"/>
    <cellStyle name="Énfasis4 44 2" xfId="2779" xr:uid="{00000000-0005-0000-0000-0000B7070000}"/>
    <cellStyle name="Énfasis4 45" xfId="1253" xr:uid="{00000000-0005-0000-0000-0000B8070000}"/>
    <cellStyle name="Énfasis4 45 2" xfId="2780" xr:uid="{00000000-0005-0000-0000-0000B9070000}"/>
    <cellStyle name="Énfasis4 46" xfId="1254" xr:uid="{00000000-0005-0000-0000-0000BA070000}"/>
    <cellStyle name="Énfasis4 5" xfId="1255" xr:uid="{00000000-0005-0000-0000-0000BB070000}"/>
    <cellStyle name="Énfasis4 6" xfId="1256" xr:uid="{00000000-0005-0000-0000-0000BC070000}"/>
    <cellStyle name="Énfasis4 7" xfId="1257" xr:uid="{00000000-0005-0000-0000-0000BD070000}"/>
    <cellStyle name="Énfasis4 8" xfId="1258" xr:uid="{00000000-0005-0000-0000-0000BE070000}"/>
    <cellStyle name="Énfasis4 9" xfId="1259" xr:uid="{00000000-0005-0000-0000-0000BF070000}"/>
    <cellStyle name="Énfasis5" xfId="2074" builtinId="45" customBuiltin="1"/>
    <cellStyle name="Énfasis5 1" xfId="1260" xr:uid="{00000000-0005-0000-0000-0000C1070000}"/>
    <cellStyle name="Énfasis5 10" xfId="1261" xr:uid="{00000000-0005-0000-0000-0000C2070000}"/>
    <cellStyle name="Énfasis5 11" xfId="1262" xr:uid="{00000000-0005-0000-0000-0000C3070000}"/>
    <cellStyle name="Énfasis5 12" xfId="1263" xr:uid="{00000000-0005-0000-0000-0000C4070000}"/>
    <cellStyle name="Énfasis5 13" xfId="1264" xr:uid="{00000000-0005-0000-0000-0000C5070000}"/>
    <cellStyle name="Énfasis5 14" xfId="1265" xr:uid="{00000000-0005-0000-0000-0000C6070000}"/>
    <cellStyle name="Énfasis5 15" xfId="1266" xr:uid="{00000000-0005-0000-0000-0000C7070000}"/>
    <cellStyle name="Énfasis5 16" xfId="1267" xr:uid="{00000000-0005-0000-0000-0000C8070000}"/>
    <cellStyle name="Énfasis5 17" xfId="1268" xr:uid="{00000000-0005-0000-0000-0000C9070000}"/>
    <cellStyle name="Énfasis5 18" xfId="1269" xr:uid="{00000000-0005-0000-0000-0000CA070000}"/>
    <cellStyle name="Énfasis5 19" xfId="1270" xr:uid="{00000000-0005-0000-0000-0000CB070000}"/>
    <cellStyle name="Énfasis5 2" xfId="1271" xr:uid="{00000000-0005-0000-0000-0000CC070000}"/>
    <cellStyle name="Énfasis5 20" xfId="1272" xr:uid="{00000000-0005-0000-0000-0000CD070000}"/>
    <cellStyle name="Énfasis5 21" xfId="1273" xr:uid="{00000000-0005-0000-0000-0000CE070000}"/>
    <cellStyle name="Énfasis5 22" xfId="1274" xr:uid="{00000000-0005-0000-0000-0000CF070000}"/>
    <cellStyle name="Énfasis5 23" xfId="1275" xr:uid="{00000000-0005-0000-0000-0000D0070000}"/>
    <cellStyle name="Énfasis5 24" xfId="1276" xr:uid="{00000000-0005-0000-0000-0000D1070000}"/>
    <cellStyle name="Énfasis5 25" xfId="1277" xr:uid="{00000000-0005-0000-0000-0000D2070000}"/>
    <cellStyle name="Énfasis5 26" xfId="1278" xr:uid="{00000000-0005-0000-0000-0000D3070000}"/>
    <cellStyle name="Énfasis5 27" xfId="1279" xr:uid="{00000000-0005-0000-0000-0000D4070000}"/>
    <cellStyle name="Énfasis5 28" xfId="1280" xr:uid="{00000000-0005-0000-0000-0000D5070000}"/>
    <cellStyle name="Énfasis5 29" xfId="1281" xr:uid="{00000000-0005-0000-0000-0000D6070000}"/>
    <cellStyle name="Énfasis5 3" xfId="1282" xr:uid="{00000000-0005-0000-0000-0000D7070000}"/>
    <cellStyle name="Énfasis5 30" xfId="1283" xr:uid="{00000000-0005-0000-0000-0000D8070000}"/>
    <cellStyle name="Énfasis5 31" xfId="1284" xr:uid="{00000000-0005-0000-0000-0000D9070000}"/>
    <cellStyle name="Énfasis5 32" xfId="1285" xr:uid="{00000000-0005-0000-0000-0000DA070000}"/>
    <cellStyle name="Énfasis5 33" xfId="1286" xr:uid="{00000000-0005-0000-0000-0000DB070000}"/>
    <cellStyle name="Énfasis5 34" xfId="1287" xr:uid="{00000000-0005-0000-0000-0000DC070000}"/>
    <cellStyle name="Énfasis5 35" xfId="1288" xr:uid="{00000000-0005-0000-0000-0000DD070000}"/>
    <cellStyle name="Énfasis5 36" xfId="1289" xr:uid="{00000000-0005-0000-0000-0000DE070000}"/>
    <cellStyle name="Énfasis5 37" xfId="1290" xr:uid="{00000000-0005-0000-0000-0000DF070000}"/>
    <cellStyle name="Énfasis5 37 2" xfId="2781" xr:uid="{00000000-0005-0000-0000-0000E0070000}"/>
    <cellStyle name="Énfasis5 38" xfId="1291" xr:uid="{00000000-0005-0000-0000-0000E1070000}"/>
    <cellStyle name="Énfasis5 38 2" xfId="2782" xr:uid="{00000000-0005-0000-0000-0000E2070000}"/>
    <cellStyle name="Énfasis5 39" xfId="1292" xr:uid="{00000000-0005-0000-0000-0000E3070000}"/>
    <cellStyle name="Énfasis5 39 2" xfId="2783" xr:uid="{00000000-0005-0000-0000-0000E4070000}"/>
    <cellStyle name="Énfasis5 4" xfId="1293" xr:uid="{00000000-0005-0000-0000-0000E5070000}"/>
    <cellStyle name="Énfasis5 40" xfId="1294" xr:uid="{00000000-0005-0000-0000-0000E6070000}"/>
    <cellStyle name="Énfasis5 40 2" xfId="2784" xr:uid="{00000000-0005-0000-0000-0000E7070000}"/>
    <cellStyle name="Énfasis5 41" xfId="1295" xr:uid="{00000000-0005-0000-0000-0000E8070000}"/>
    <cellStyle name="Énfasis5 41 2" xfId="2785" xr:uid="{00000000-0005-0000-0000-0000E9070000}"/>
    <cellStyle name="Énfasis5 42" xfId="1296" xr:uid="{00000000-0005-0000-0000-0000EA070000}"/>
    <cellStyle name="Énfasis5 42 2" xfId="2786" xr:uid="{00000000-0005-0000-0000-0000EB070000}"/>
    <cellStyle name="Énfasis5 43" xfId="1297" xr:uid="{00000000-0005-0000-0000-0000EC070000}"/>
    <cellStyle name="Énfasis5 43 2" xfId="2787" xr:uid="{00000000-0005-0000-0000-0000ED070000}"/>
    <cellStyle name="Énfasis5 44" xfId="1298" xr:uid="{00000000-0005-0000-0000-0000EE070000}"/>
    <cellStyle name="Énfasis5 44 2" xfId="2788" xr:uid="{00000000-0005-0000-0000-0000EF070000}"/>
    <cellStyle name="Énfasis5 45" xfId="1299" xr:uid="{00000000-0005-0000-0000-0000F0070000}"/>
    <cellStyle name="Énfasis5 45 2" xfId="2789" xr:uid="{00000000-0005-0000-0000-0000F1070000}"/>
    <cellStyle name="Énfasis5 46" xfId="1300" xr:uid="{00000000-0005-0000-0000-0000F2070000}"/>
    <cellStyle name="Énfasis5 5" xfId="1301" xr:uid="{00000000-0005-0000-0000-0000F3070000}"/>
    <cellStyle name="Énfasis5 6" xfId="1302" xr:uid="{00000000-0005-0000-0000-0000F4070000}"/>
    <cellStyle name="Énfasis5 7" xfId="1303" xr:uid="{00000000-0005-0000-0000-0000F5070000}"/>
    <cellStyle name="Énfasis5 8" xfId="1304" xr:uid="{00000000-0005-0000-0000-0000F6070000}"/>
    <cellStyle name="Énfasis5 9" xfId="1305" xr:uid="{00000000-0005-0000-0000-0000F7070000}"/>
    <cellStyle name="Énfasis6" xfId="2078" builtinId="49" customBuiltin="1"/>
    <cellStyle name="Énfasis6 1" xfId="1306" xr:uid="{00000000-0005-0000-0000-0000F9070000}"/>
    <cellStyle name="Énfasis6 10" xfId="1307" xr:uid="{00000000-0005-0000-0000-0000FA070000}"/>
    <cellStyle name="Énfasis6 11" xfId="1308" xr:uid="{00000000-0005-0000-0000-0000FB070000}"/>
    <cellStyle name="Énfasis6 12" xfId="1309" xr:uid="{00000000-0005-0000-0000-0000FC070000}"/>
    <cellStyle name="Énfasis6 13" xfId="1310" xr:uid="{00000000-0005-0000-0000-0000FD070000}"/>
    <cellStyle name="Énfasis6 14" xfId="1311" xr:uid="{00000000-0005-0000-0000-0000FE070000}"/>
    <cellStyle name="Énfasis6 15" xfId="1312" xr:uid="{00000000-0005-0000-0000-0000FF070000}"/>
    <cellStyle name="Énfasis6 16" xfId="1313" xr:uid="{00000000-0005-0000-0000-000000080000}"/>
    <cellStyle name="Énfasis6 17" xfId="1314" xr:uid="{00000000-0005-0000-0000-000001080000}"/>
    <cellStyle name="Énfasis6 18" xfId="1315" xr:uid="{00000000-0005-0000-0000-000002080000}"/>
    <cellStyle name="Énfasis6 19" xfId="1316" xr:uid="{00000000-0005-0000-0000-000003080000}"/>
    <cellStyle name="Énfasis6 2" xfId="1317" xr:uid="{00000000-0005-0000-0000-000004080000}"/>
    <cellStyle name="Énfasis6 20" xfId="1318" xr:uid="{00000000-0005-0000-0000-000005080000}"/>
    <cellStyle name="Énfasis6 21" xfId="1319" xr:uid="{00000000-0005-0000-0000-000006080000}"/>
    <cellStyle name="Énfasis6 22" xfId="1320" xr:uid="{00000000-0005-0000-0000-000007080000}"/>
    <cellStyle name="Énfasis6 23" xfId="1321" xr:uid="{00000000-0005-0000-0000-000008080000}"/>
    <cellStyle name="Énfasis6 24" xfId="1322" xr:uid="{00000000-0005-0000-0000-000009080000}"/>
    <cellStyle name="Énfasis6 25" xfId="1323" xr:uid="{00000000-0005-0000-0000-00000A080000}"/>
    <cellStyle name="Énfasis6 26" xfId="1324" xr:uid="{00000000-0005-0000-0000-00000B080000}"/>
    <cellStyle name="Énfasis6 27" xfId="1325" xr:uid="{00000000-0005-0000-0000-00000C080000}"/>
    <cellStyle name="Énfasis6 28" xfId="1326" xr:uid="{00000000-0005-0000-0000-00000D080000}"/>
    <cellStyle name="Énfasis6 29" xfId="1327" xr:uid="{00000000-0005-0000-0000-00000E080000}"/>
    <cellStyle name="Énfasis6 3" xfId="1328" xr:uid="{00000000-0005-0000-0000-00000F080000}"/>
    <cellStyle name="Énfasis6 30" xfId="1329" xr:uid="{00000000-0005-0000-0000-000010080000}"/>
    <cellStyle name="Énfasis6 31" xfId="1330" xr:uid="{00000000-0005-0000-0000-000011080000}"/>
    <cellStyle name="Énfasis6 32" xfId="1331" xr:uid="{00000000-0005-0000-0000-000012080000}"/>
    <cellStyle name="Énfasis6 33" xfId="1332" xr:uid="{00000000-0005-0000-0000-000013080000}"/>
    <cellStyle name="Énfasis6 34" xfId="1333" xr:uid="{00000000-0005-0000-0000-000014080000}"/>
    <cellStyle name="Énfasis6 35" xfId="1334" xr:uid="{00000000-0005-0000-0000-000015080000}"/>
    <cellStyle name="Énfasis6 36" xfId="1335" xr:uid="{00000000-0005-0000-0000-000016080000}"/>
    <cellStyle name="Énfasis6 37" xfId="1336" xr:uid="{00000000-0005-0000-0000-000017080000}"/>
    <cellStyle name="Énfasis6 37 2" xfId="2790" xr:uid="{00000000-0005-0000-0000-000018080000}"/>
    <cellStyle name="Énfasis6 38" xfId="1337" xr:uid="{00000000-0005-0000-0000-000019080000}"/>
    <cellStyle name="Énfasis6 38 2" xfId="2791" xr:uid="{00000000-0005-0000-0000-00001A080000}"/>
    <cellStyle name="Énfasis6 39" xfId="1338" xr:uid="{00000000-0005-0000-0000-00001B080000}"/>
    <cellStyle name="Énfasis6 39 2" xfId="2792" xr:uid="{00000000-0005-0000-0000-00001C080000}"/>
    <cellStyle name="Énfasis6 4" xfId="1339" xr:uid="{00000000-0005-0000-0000-00001D080000}"/>
    <cellStyle name="Énfasis6 40" xfId="1340" xr:uid="{00000000-0005-0000-0000-00001E080000}"/>
    <cellStyle name="Énfasis6 40 2" xfId="2793" xr:uid="{00000000-0005-0000-0000-00001F080000}"/>
    <cellStyle name="Énfasis6 41" xfId="1341" xr:uid="{00000000-0005-0000-0000-000020080000}"/>
    <cellStyle name="Énfasis6 41 2" xfId="2794" xr:uid="{00000000-0005-0000-0000-000021080000}"/>
    <cellStyle name="Énfasis6 42" xfId="1342" xr:uid="{00000000-0005-0000-0000-000022080000}"/>
    <cellStyle name="Énfasis6 42 2" xfId="2795" xr:uid="{00000000-0005-0000-0000-000023080000}"/>
    <cellStyle name="Énfasis6 43" xfId="1343" xr:uid="{00000000-0005-0000-0000-000024080000}"/>
    <cellStyle name="Énfasis6 43 2" xfId="2796" xr:uid="{00000000-0005-0000-0000-000025080000}"/>
    <cellStyle name="Énfasis6 44" xfId="1344" xr:uid="{00000000-0005-0000-0000-000026080000}"/>
    <cellStyle name="Énfasis6 44 2" xfId="2797" xr:uid="{00000000-0005-0000-0000-000027080000}"/>
    <cellStyle name="Énfasis6 45" xfId="1345" xr:uid="{00000000-0005-0000-0000-000028080000}"/>
    <cellStyle name="Énfasis6 45 2" xfId="2798" xr:uid="{00000000-0005-0000-0000-000029080000}"/>
    <cellStyle name="Énfasis6 46" xfId="1346" xr:uid="{00000000-0005-0000-0000-00002A080000}"/>
    <cellStyle name="Énfasis6 5" xfId="1347" xr:uid="{00000000-0005-0000-0000-00002B080000}"/>
    <cellStyle name="Énfasis6 6" xfId="1348" xr:uid="{00000000-0005-0000-0000-00002C080000}"/>
    <cellStyle name="Énfasis6 7" xfId="1349" xr:uid="{00000000-0005-0000-0000-00002D080000}"/>
    <cellStyle name="Énfasis6 8" xfId="1350" xr:uid="{00000000-0005-0000-0000-00002E080000}"/>
    <cellStyle name="Énfasis6 9" xfId="1351" xr:uid="{00000000-0005-0000-0000-00002F080000}"/>
    <cellStyle name="Entrada" xfId="2049" builtinId="20" customBuiltin="1"/>
    <cellStyle name="Entrada 1" xfId="1352" xr:uid="{00000000-0005-0000-0000-000031080000}"/>
    <cellStyle name="Entrada 10" xfId="1353" xr:uid="{00000000-0005-0000-0000-000032080000}"/>
    <cellStyle name="Entrada 11" xfId="1354" xr:uid="{00000000-0005-0000-0000-000033080000}"/>
    <cellStyle name="Entrada 12" xfId="1355" xr:uid="{00000000-0005-0000-0000-000034080000}"/>
    <cellStyle name="Entrada 13" xfId="1356" xr:uid="{00000000-0005-0000-0000-000035080000}"/>
    <cellStyle name="Entrada 14" xfId="1357" xr:uid="{00000000-0005-0000-0000-000036080000}"/>
    <cellStyle name="Entrada 15" xfId="1358" xr:uid="{00000000-0005-0000-0000-000037080000}"/>
    <cellStyle name="Entrada 16" xfId="1359" xr:uid="{00000000-0005-0000-0000-000038080000}"/>
    <cellStyle name="Entrada 17" xfId="1360" xr:uid="{00000000-0005-0000-0000-000039080000}"/>
    <cellStyle name="Entrada 18" xfId="1361" xr:uid="{00000000-0005-0000-0000-00003A080000}"/>
    <cellStyle name="Entrada 19" xfId="1362" xr:uid="{00000000-0005-0000-0000-00003B080000}"/>
    <cellStyle name="Entrada 2" xfId="1363" xr:uid="{00000000-0005-0000-0000-00003C080000}"/>
    <cellStyle name="Entrada 20" xfId="1364" xr:uid="{00000000-0005-0000-0000-00003D080000}"/>
    <cellStyle name="Entrada 21" xfId="1365" xr:uid="{00000000-0005-0000-0000-00003E080000}"/>
    <cellStyle name="Entrada 22" xfId="1366" xr:uid="{00000000-0005-0000-0000-00003F080000}"/>
    <cellStyle name="Entrada 23" xfId="1367" xr:uid="{00000000-0005-0000-0000-000040080000}"/>
    <cellStyle name="Entrada 24" xfId="1368" xr:uid="{00000000-0005-0000-0000-000041080000}"/>
    <cellStyle name="Entrada 25" xfId="1369" xr:uid="{00000000-0005-0000-0000-000042080000}"/>
    <cellStyle name="Entrada 26" xfId="1370" xr:uid="{00000000-0005-0000-0000-000043080000}"/>
    <cellStyle name="Entrada 27" xfId="1371" xr:uid="{00000000-0005-0000-0000-000044080000}"/>
    <cellStyle name="Entrada 28" xfId="1372" xr:uid="{00000000-0005-0000-0000-000045080000}"/>
    <cellStyle name="Entrada 29" xfId="1373" xr:uid="{00000000-0005-0000-0000-000046080000}"/>
    <cellStyle name="Entrada 3" xfId="1374" xr:uid="{00000000-0005-0000-0000-000047080000}"/>
    <cellStyle name="Entrada 30" xfId="1375" xr:uid="{00000000-0005-0000-0000-000048080000}"/>
    <cellStyle name="Entrada 31" xfId="1376" xr:uid="{00000000-0005-0000-0000-000049080000}"/>
    <cellStyle name="Entrada 32" xfId="1377" xr:uid="{00000000-0005-0000-0000-00004A080000}"/>
    <cellStyle name="Entrada 33" xfId="1378" xr:uid="{00000000-0005-0000-0000-00004B080000}"/>
    <cellStyle name="Entrada 34" xfId="1379" xr:uid="{00000000-0005-0000-0000-00004C080000}"/>
    <cellStyle name="Entrada 35" xfId="1380" xr:uid="{00000000-0005-0000-0000-00004D080000}"/>
    <cellStyle name="Entrada 36" xfId="1381" xr:uid="{00000000-0005-0000-0000-00004E080000}"/>
    <cellStyle name="Entrada 37" xfId="1382" xr:uid="{00000000-0005-0000-0000-00004F080000}"/>
    <cellStyle name="Entrada 37 2" xfId="2799" xr:uid="{00000000-0005-0000-0000-000050080000}"/>
    <cellStyle name="Entrada 38" xfId="1383" xr:uid="{00000000-0005-0000-0000-000051080000}"/>
    <cellStyle name="Entrada 38 2" xfId="2800" xr:uid="{00000000-0005-0000-0000-000052080000}"/>
    <cellStyle name="Entrada 39" xfId="1384" xr:uid="{00000000-0005-0000-0000-000053080000}"/>
    <cellStyle name="Entrada 39 2" xfId="2801" xr:uid="{00000000-0005-0000-0000-000054080000}"/>
    <cellStyle name="Entrada 4" xfId="1385" xr:uid="{00000000-0005-0000-0000-000055080000}"/>
    <cellStyle name="Entrada 40" xfId="1386" xr:uid="{00000000-0005-0000-0000-000056080000}"/>
    <cellStyle name="Entrada 40 2" xfId="2802" xr:uid="{00000000-0005-0000-0000-000057080000}"/>
    <cellStyle name="Entrada 41" xfId="1387" xr:uid="{00000000-0005-0000-0000-000058080000}"/>
    <cellStyle name="Entrada 41 2" xfId="2803" xr:uid="{00000000-0005-0000-0000-000059080000}"/>
    <cellStyle name="Entrada 42" xfId="1388" xr:uid="{00000000-0005-0000-0000-00005A080000}"/>
    <cellStyle name="Entrada 42 2" xfId="2804" xr:uid="{00000000-0005-0000-0000-00005B080000}"/>
    <cellStyle name="Entrada 43" xfId="1389" xr:uid="{00000000-0005-0000-0000-00005C080000}"/>
    <cellStyle name="Entrada 43 2" xfId="2805" xr:uid="{00000000-0005-0000-0000-00005D080000}"/>
    <cellStyle name="Entrada 44" xfId="1390" xr:uid="{00000000-0005-0000-0000-00005E080000}"/>
    <cellStyle name="Entrada 44 2" xfId="2806" xr:uid="{00000000-0005-0000-0000-00005F080000}"/>
    <cellStyle name="Entrada 45" xfId="1391" xr:uid="{00000000-0005-0000-0000-000060080000}"/>
    <cellStyle name="Entrada 45 2" xfId="2807" xr:uid="{00000000-0005-0000-0000-000061080000}"/>
    <cellStyle name="Entrada 46" xfId="1392" xr:uid="{00000000-0005-0000-0000-000062080000}"/>
    <cellStyle name="Entrada 5" xfId="1393" xr:uid="{00000000-0005-0000-0000-000063080000}"/>
    <cellStyle name="Entrada 6" xfId="1394" xr:uid="{00000000-0005-0000-0000-000064080000}"/>
    <cellStyle name="Entrada 7" xfId="1395" xr:uid="{00000000-0005-0000-0000-000065080000}"/>
    <cellStyle name="Entrada 8" xfId="1396" xr:uid="{00000000-0005-0000-0000-000066080000}"/>
    <cellStyle name="Entrada 9" xfId="1397" xr:uid="{00000000-0005-0000-0000-000067080000}"/>
    <cellStyle name="Euro" xfId="1398" xr:uid="{00000000-0005-0000-0000-000068080000}"/>
    <cellStyle name="Excel Built-in Normal" xfId="1399" xr:uid="{00000000-0005-0000-0000-000069080000}"/>
    <cellStyle name="Excel Built-in Normal 2" xfId="2808" xr:uid="{00000000-0005-0000-0000-00006A080000}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" xfId="1945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4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17" builtinId="8" hidden="1"/>
    <cellStyle name="Hipervínculo" xfId="1919" builtinId="8" hidden="1"/>
    <cellStyle name="Hipervínculo" xfId="1915" builtinId="8" hidden="1"/>
    <cellStyle name="Hipervínculo" xfId="1913" builtinId="8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18" builtinId="9" hidden="1"/>
    <cellStyle name="Hipervínculo visitado" xfId="1920" builtinId="9" hidden="1"/>
    <cellStyle name="Hipervínculo visitado" xfId="1916" builtinId="9" hidden="1"/>
    <cellStyle name="Hipervínculo visitado" xfId="1914" builtinId="9" hidden="1"/>
    <cellStyle name="Incorrecto" xfId="2047" builtinId="27" customBuiltin="1"/>
    <cellStyle name="Incorrecto 1" xfId="1400" xr:uid="{00000000-0005-0000-0000-0000EE080000}"/>
    <cellStyle name="Incorrecto 10" xfId="1401" xr:uid="{00000000-0005-0000-0000-0000EF080000}"/>
    <cellStyle name="Incorrecto 11" xfId="1402" xr:uid="{00000000-0005-0000-0000-0000F0080000}"/>
    <cellStyle name="Incorrecto 12" xfId="1403" xr:uid="{00000000-0005-0000-0000-0000F1080000}"/>
    <cellStyle name="Incorrecto 13" xfId="1404" xr:uid="{00000000-0005-0000-0000-0000F2080000}"/>
    <cellStyle name="Incorrecto 14" xfId="1405" xr:uid="{00000000-0005-0000-0000-0000F3080000}"/>
    <cellStyle name="Incorrecto 15" xfId="1406" xr:uid="{00000000-0005-0000-0000-0000F4080000}"/>
    <cellStyle name="Incorrecto 16" xfId="1407" xr:uid="{00000000-0005-0000-0000-0000F5080000}"/>
    <cellStyle name="Incorrecto 17" xfId="1408" xr:uid="{00000000-0005-0000-0000-0000F6080000}"/>
    <cellStyle name="Incorrecto 18" xfId="1409" xr:uid="{00000000-0005-0000-0000-0000F7080000}"/>
    <cellStyle name="Incorrecto 19" xfId="1410" xr:uid="{00000000-0005-0000-0000-0000F8080000}"/>
    <cellStyle name="Incorrecto 2" xfId="1411" xr:uid="{00000000-0005-0000-0000-0000F9080000}"/>
    <cellStyle name="Incorrecto 20" xfId="1412" xr:uid="{00000000-0005-0000-0000-0000FA080000}"/>
    <cellStyle name="Incorrecto 21" xfId="1413" xr:uid="{00000000-0005-0000-0000-0000FB080000}"/>
    <cellStyle name="Incorrecto 22" xfId="1414" xr:uid="{00000000-0005-0000-0000-0000FC080000}"/>
    <cellStyle name="Incorrecto 23" xfId="1415" xr:uid="{00000000-0005-0000-0000-0000FD080000}"/>
    <cellStyle name="Incorrecto 24" xfId="1416" xr:uid="{00000000-0005-0000-0000-0000FE080000}"/>
    <cellStyle name="Incorrecto 25" xfId="1417" xr:uid="{00000000-0005-0000-0000-0000FF080000}"/>
    <cellStyle name="Incorrecto 26" xfId="1418" xr:uid="{00000000-0005-0000-0000-000000090000}"/>
    <cellStyle name="Incorrecto 27" xfId="1419" xr:uid="{00000000-0005-0000-0000-000001090000}"/>
    <cellStyle name="Incorrecto 28" xfId="1420" xr:uid="{00000000-0005-0000-0000-000002090000}"/>
    <cellStyle name="Incorrecto 29" xfId="1421" xr:uid="{00000000-0005-0000-0000-000003090000}"/>
    <cellStyle name="Incorrecto 3" xfId="1422" xr:uid="{00000000-0005-0000-0000-000004090000}"/>
    <cellStyle name="Incorrecto 30" xfId="1423" xr:uid="{00000000-0005-0000-0000-000005090000}"/>
    <cellStyle name="Incorrecto 31" xfId="1424" xr:uid="{00000000-0005-0000-0000-000006090000}"/>
    <cellStyle name="Incorrecto 32" xfId="1425" xr:uid="{00000000-0005-0000-0000-000007090000}"/>
    <cellStyle name="Incorrecto 33" xfId="1426" xr:uid="{00000000-0005-0000-0000-000008090000}"/>
    <cellStyle name="Incorrecto 34" xfId="1427" xr:uid="{00000000-0005-0000-0000-000009090000}"/>
    <cellStyle name="Incorrecto 35" xfId="1428" xr:uid="{00000000-0005-0000-0000-00000A090000}"/>
    <cellStyle name="Incorrecto 36" xfId="1429" xr:uid="{00000000-0005-0000-0000-00000B090000}"/>
    <cellStyle name="Incorrecto 37" xfId="1430" xr:uid="{00000000-0005-0000-0000-00000C090000}"/>
    <cellStyle name="Incorrecto 37 2" xfId="2809" xr:uid="{00000000-0005-0000-0000-00000D090000}"/>
    <cellStyle name="Incorrecto 38" xfId="1431" xr:uid="{00000000-0005-0000-0000-00000E090000}"/>
    <cellStyle name="Incorrecto 38 2" xfId="2810" xr:uid="{00000000-0005-0000-0000-00000F090000}"/>
    <cellStyle name="Incorrecto 39" xfId="1432" xr:uid="{00000000-0005-0000-0000-000010090000}"/>
    <cellStyle name="Incorrecto 39 2" xfId="2811" xr:uid="{00000000-0005-0000-0000-000011090000}"/>
    <cellStyle name="Incorrecto 4" xfId="1433" xr:uid="{00000000-0005-0000-0000-000012090000}"/>
    <cellStyle name="Incorrecto 40" xfId="1434" xr:uid="{00000000-0005-0000-0000-000013090000}"/>
    <cellStyle name="Incorrecto 40 2" xfId="2812" xr:uid="{00000000-0005-0000-0000-000014090000}"/>
    <cellStyle name="Incorrecto 41" xfId="1435" xr:uid="{00000000-0005-0000-0000-000015090000}"/>
    <cellStyle name="Incorrecto 41 2" xfId="2813" xr:uid="{00000000-0005-0000-0000-000016090000}"/>
    <cellStyle name="Incorrecto 42" xfId="1436" xr:uid="{00000000-0005-0000-0000-000017090000}"/>
    <cellStyle name="Incorrecto 42 2" xfId="2814" xr:uid="{00000000-0005-0000-0000-000018090000}"/>
    <cellStyle name="Incorrecto 43" xfId="1437" xr:uid="{00000000-0005-0000-0000-000019090000}"/>
    <cellStyle name="Incorrecto 43 2" xfId="2815" xr:uid="{00000000-0005-0000-0000-00001A090000}"/>
    <cellStyle name="Incorrecto 44" xfId="1438" xr:uid="{00000000-0005-0000-0000-00001B090000}"/>
    <cellStyle name="Incorrecto 44 2" xfId="2816" xr:uid="{00000000-0005-0000-0000-00001C090000}"/>
    <cellStyle name="Incorrecto 45" xfId="1439" xr:uid="{00000000-0005-0000-0000-00001D090000}"/>
    <cellStyle name="Incorrecto 45 2" xfId="2817" xr:uid="{00000000-0005-0000-0000-00001E090000}"/>
    <cellStyle name="Incorrecto 46" xfId="1440" xr:uid="{00000000-0005-0000-0000-00001F090000}"/>
    <cellStyle name="Incorrecto 5" xfId="1441" xr:uid="{00000000-0005-0000-0000-000020090000}"/>
    <cellStyle name="Incorrecto 6" xfId="1442" xr:uid="{00000000-0005-0000-0000-000021090000}"/>
    <cellStyle name="Incorrecto 7" xfId="1443" xr:uid="{00000000-0005-0000-0000-000022090000}"/>
    <cellStyle name="Incorrecto 8" xfId="1444" xr:uid="{00000000-0005-0000-0000-000023090000}"/>
    <cellStyle name="Incorrecto 9" xfId="1445" xr:uid="{00000000-0005-0000-0000-000024090000}"/>
    <cellStyle name="Millares" xfId="1446" builtinId="3"/>
    <cellStyle name="Millares 2" xfId="1447" xr:uid="{00000000-0005-0000-0000-000026090000}"/>
    <cellStyle name="Millares 2 2" xfId="1448" xr:uid="{00000000-0005-0000-0000-000027090000}"/>
    <cellStyle name="Millares 2 2 2" xfId="2820" xr:uid="{00000000-0005-0000-0000-000028090000}"/>
    <cellStyle name="Millares 2 3" xfId="2819" xr:uid="{00000000-0005-0000-0000-000029090000}"/>
    <cellStyle name="Millares 3" xfId="1449" xr:uid="{00000000-0005-0000-0000-00002A090000}"/>
    <cellStyle name="Millares 3 2" xfId="2821" xr:uid="{00000000-0005-0000-0000-00002B090000}"/>
    <cellStyle name="Millares 4" xfId="2818" xr:uid="{00000000-0005-0000-0000-00002C090000}"/>
    <cellStyle name="Millares 5" xfId="2953" xr:uid="{3F181D57-3F52-460D-94E3-893C144435F3}"/>
    <cellStyle name="Millares_TRABAJADORES EVENTUALES CONTRUTABLA" xfId="1450" xr:uid="{00000000-0005-0000-0000-00002D090000}"/>
    <cellStyle name="Moneda" xfId="1451" builtinId="4"/>
    <cellStyle name="Moneda 2" xfId="2822" xr:uid="{00000000-0005-0000-0000-00002F090000}"/>
    <cellStyle name="Moneda 3" xfId="2950" xr:uid="{11A56745-6A7E-480B-84AA-8BA3878C1547}"/>
    <cellStyle name="Moneda 6 2" xfId="2952" xr:uid="{2C4FA172-3544-40F2-A3E6-A2F4AD61D8E3}"/>
    <cellStyle name="Neutral" xfId="2048" builtinId="28" customBuiltin="1"/>
    <cellStyle name="Neutral 1" xfId="1452" xr:uid="{00000000-0005-0000-0000-000031090000}"/>
    <cellStyle name="Neutral 10" xfId="1453" xr:uid="{00000000-0005-0000-0000-000032090000}"/>
    <cellStyle name="Neutral 11" xfId="1454" xr:uid="{00000000-0005-0000-0000-000033090000}"/>
    <cellStyle name="Neutral 12" xfId="1455" xr:uid="{00000000-0005-0000-0000-000034090000}"/>
    <cellStyle name="Neutral 13" xfId="1456" xr:uid="{00000000-0005-0000-0000-000035090000}"/>
    <cellStyle name="Neutral 14" xfId="1457" xr:uid="{00000000-0005-0000-0000-000036090000}"/>
    <cellStyle name="Neutral 15" xfId="1458" xr:uid="{00000000-0005-0000-0000-000037090000}"/>
    <cellStyle name="Neutral 16" xfId="1459" xr:uid="{00000000-0005-0000-0000-000038090000}"/>
    <cellStyle name="Neutral 17" xfId="1460" xr:uid="{00000000-0005-0000-0000-000039090000}"/>
    <cellStyle name="Neutral 18" xfId="1461" xr:uid="{00000000-0005-0000-0000-00003A090000}"/>
    <cellStyle name="Neutral 19" xfId="1462" xr:uid="{00000000-0005-0000-0000-00003B090000}"/>
    <cellStyle name="Neutral 2" xfId="1463" xr:uid="{00000000-0005-0000-0000-00003C090000}"/>
    <cellStyle name="Neutral 20" xfId="1464" xr:uid="{00000000-0005-0000-0000-00003D090000}"/>
    <cellStyle name="Neutral 21" xfId="1465" xr:uid="{00000000-0005-0000-0000-00003E090000}"/>
    <cellStyle name="Neutral 22" xfId="1466" xr:uid="{00000000-0005-0000-0000-00003F090000}"/>
    <cellStyle name="Neutral 23" xfId="1467" xr:uid="{00000000-0005-0000-0000-000040090000}"/>
    <cellStyle name="Neutral 24" xfId="1468" xr:uid="{00000000-0005-0000-0000-000041090000}"/>
    <cellStyle name="Neutral 25" xfId="1469" xr:uid="{00000000-0005-0000-0000-000042090000}"/>
    <cellStyle name="Neutral 26" xfId="1470" xr:uid="{00000000-0005-0000-0000-000043090000}"/>
    <cellStyle name="Neutral 27" xfId="1471" xr:uid="{00000000-0005-0000-0000-000044090000}"/>
    <cellStyle name="Neutral 28" xfId="1472" xr:uid="{00000000-0005-0000-0000-000045090000}"/>
    <cellStyle name="Neutral 29" xfId="1473" xr:uid="{00000000-0005-0000-0000-000046090000}"/>
    <cellStyle name="Neutral 3" xfId="1474" xr:uid="{00000000-0005-0000-0000-000047090000}"/>
    <cellStyle name="Neutral 30" xfId="1475" xr:uid="{00000000-0005-0000-0000-000048090000}"/>
    <cellStyle name="Neutral 31" xfId="1476" xr:uid="{00000000-0005-0000-0000-000049090000}"/>
    <cellStyle name="Neutral 32" xfId="1477" xr:uid="{00000000-0005-0000-0000-00004A090000}"/>
    <cellStyle name="Neutral 33" xfId="1478" xr:uid="{00000000-0005-0000-0000-00004B090000}"/>
    <cellStyle name="Neutral 34" xfId="1479" xr:uid="{00000000-0005-0000-0000-00004C090000}"/>
    <cellStyle name="Neutral 35" xfId="1480" xr:uid="{00000000-0005-0000-0000-00004D090000}"/>
    <cellStyle name="Neutral 36" xfId="1481" xr:uid="{00000000-0005-0000-0000-00004E090000}"/>
    <cellStyle name="Neutral 37" xfId="1482" xr:uid="{00000000-0005-0000-0000-00004F090000}"/>
    <cellStyle name="Neutral 37 2" xfId="2823" xr:uid="{00000000-0005-0000-0000-000050090000}"/>
    <cellStyle name="Neutral 38" xfId="1483" xr:uid="{00000000-0005-0000-0000-000051090000}"/>
    <cellStyle name="Neutral 38 2" xfId="2824" xr:uid="{00000000-0005-0000-0000-000052090000}"/>
    <cellStyle name="Neutral 39" xfId="1484" xr:uid="{00000000-0005-0000-0000-000053090000}"/>
    <cellStyle name="Neutral 39 2" xfId="2825" xr:uid="{00000000-0005-0000-0000-000054090000}"/>
    <cellStyle name="Neutral 4" xfId="1485" xr:uid="{00000000-0005-0000-0000-000055090000}"/>
    <cellStyle name="Neutral 40" xfId="1486" xr:uid="{00000000-0005-0000-0000-000056090000}"/>
    <cellStyle name="Neutral 40 2" xfId="2826" xr:uid="{00000000-0005-0000-0000-000057090000}"/>
    <cellStyle name="Neutral 41" xfId="1487" xr:uid="{00000000-0005-0000-0000-000058090000}"/>
    <cellStyle name="Neutral 41 2" xfId="2827" xr:uid="{00000000-0005-0000-0000-000059090000}"/>
    <cellStyle name="Neutral 42" xfId="1488" xr:uid="{00000000-0005-0000-0000-00005A090000}"/>
    <cellStyle name="Neutral 42 2" xfId="2828" xr:uid="{00000000-0005-0000-0000-00005B090000}"/>
    <cellStyle name="Neutral 43" xfId="1489" xr:uid="{00000000-0005-0000-0000-00005C090000}"/>
    <cellStyle name="Neutral 43 2" xfId="2829" xr:uid="{00000000-0005-0000-0000-00005D090000}"/>
    <cellStyle name="Neutral 44" xfId="1490" xr:uid="{00000000-0005-0000-0000-00005E090000}"/>
    <cellStyle name="Neutral 44 2" xfId="2830" xr:uid="{00000000-0005-0000-0000-00005F090000}"/>
    <cellStyle name="Neutral 45" xfId="1491" xr:uid="{00000000-0005-0000-0000-000060090000}"/>
    <cellStyle name="Neutral 45 2" xfId="2831" xr:uid="{00000000-0005-0000-0000-000061090000}"/>
    <cellStyle name="Neutral 46" xfId="1492" xr:uid="{00000000-0005-0000-0000-000062090000}"/>
    <cellStyle name="Neutral 5" xfId="1493" xr:uid="{00000000-0005-0000-0000-000063090000}"/>
    <cellStyle name="Neutral 6" xfId="1494" xr:uid="{00000000-0005-0000-0000-000064090000}"/>
    <cellStyle name="Neutral 7" xfId="1495" xr:uid="{00000000-0005-0000-0000-000065090000}"/>
    <cellStyle name="Neutral 8" xfId="1496" xr:uid="{00000000-0005-0000-0000-000066090000}"/>
    <cellStyle name="Neutral 9" xfId="1497" xr:uid="{00000000-0005-0000-0000-000067090000}"/>
    <cellStyle name="Normal" xfId="0" builtinId="0"/>
    <cellStyle name="Normal 15" xfId="1912" xr:uid="{00000000-0005-0000-0000-000069090000}"/>
    <cellStyle name="Normal 2" xfId="1498" xr:uid="{00000000-0005-0000-0000-00006A090000}"/>
    <cellStyle name="Normal 2 2" xfId="1499" xr:uid="{00000000-0005-0000-0000-00006B090000}"/>
    <cellStyle name="Normal 2 2 2" xfId="1500" xr:uid="{00000000-0005-0000-0000-00006C090000}"/>
    <cellStyle name="Normal 3" xfId="1501" xr:uid="{00000000-0005-0000-0000-00006D090000}"/>
    <cellStyle name="Normal 4" xfId="1502" xr:uid="{00000000-0005-0000-0000-00006E090000}"/>
    <cellStyle name="Notas" xfId="2055" builtinId="10" customBuiltin="1"/>
    <cellStyle name="Notas 1" xfId="1503" xr:uid="{00000000-0005-0000-0000-000070090000}"/>
    <cellStyle name="Notas 1 2" xfId="2832" xr:uid="{00000000-0005-0000-0000-000071090000}"/>
    <cellStyle name="Notas 10" xfId="1504" xr:uid="{00000000-0005-0000-0000-000072090000}"/>
    <cellStyle name="Notas 10 2" xfId="2833" xr:uid="{00000000-0005-0000-0000-000073090000}"/>
    <cellStyle name="Notas 11" xfId="1505" xr:uid="{00000000-0005-0000-0000-000074090000}"/>
    <cellStyle name="Notas 11 2" xfId="2834" xr:uid="{00000000-0005-0000-0000-000075090000}"/>
    <cellStyle name="Notas 12" xfId="1506" xr:uid="{00000000-0005-0000-0000-000076090000}"/>
    <cellStyle name="Notas 12 2" xfId="2835" xr:uid="{00000000-0005-0000-0000-000077090000}"/>
    <cellStyle name="Notas 13" xfId="1507" xr:uid="{00000000-0005-0000-0000-000078090000}"/>
    <cellStyle name="Notas 13 2" xfId="2836" xr:uid="{00000000-0005-0000-0000-000079090000}"/>
    <cellStyle name="Notas 14" xfId="1508" xr:uid="{00000000-0005-0000-0000-00007A090000}"/>
    <cellStyle name="Notas 14 2" xfId="2837" xr:uid="{00000000-0005-0000-0000-00007B090000}"/>
    <cellStyle name="Notas 15" xfId="1509" xr:uid="{00000000-0005-0000-0000-00007C090000}"/>
    <cellStyle name="Notas 15 2" xfId="2838" xr:uid="{00000000-0005-0000-0000-00007D090000}"/>
    <cellStyle name="Notas 16" xfId="1510" xr:uid="{00000000-0005-0000-0000-00007E090000}"/>
    <cellStyle name="Notas 16 2" xfId="2839" xr:uid="{00000000-0005-0000-0000-00007F090000}"/>
    <cellStyle name="Notas 17" xfId="1511" xr:uid="{00000000-0005-0000-0000-000080090000}"/>
    <cellStyle name="Notas 17 2" xfId="2840" xr:uid="{00000000-0005-0000-0000-000081090000}"/>
    <cellStyle name="Notas 18" xfId="1512" xr:uid="{00000000-0005-0000-0000-000082090000}"/>
    <cellStyle name="Notas 18 2" xfId="2841" xr:uid="{00000000-0005-0000-0000-000083090000}"/>
    <cellStyle name="Notas 19" xfId="1513" xr:uid="{00000000-0005-0000-0000-000084090000}"/>
    <cellStyle name="Notas 19 2" xfId="2842" xr:uid="{00000000-0005-0000-0000-000085090000}"/>
    <cellStyle name="Notas 2" xfId="1514" xr:uid="{00000000-0005-0000-0000-000086090000}"/>
    <cellStyle name="Notas 2 2" xfId="2843" xr:uid="{00000000-0005-0000-0000-000087090000}"/>
    <cellStyle name="Notas 20" xfId="1515" xr:uid="{00000000-0005-0000-0000-000088090000}"/>
    <cellStyle name="Notas 20 2" xfId="2844" xr:uid="{00000000-0005-0000-0000-000089090000}"/>
    <cellStyle name="Notas 21" xfId="1516" xr:uid="{00000000-0005-0000-0000-00008A090000}"/>
    <cellStyle name="Notas 21 2" xfId="2845" xr:uid="{00000000-0005-0000-0000-00008B090000}"/>
    <cellStyle name="Notas 22" xfId="1517" xr:uid="{00000000-0005-0000-0000-00008C090000}"/>
    <cellStyle name="Notas 22 2" xfId="2846" xr:uid="{00000000-0005-0000-0000-00008D090000}"/>
    <cellStyle name="Notas 23" xfId="1518" xr:uid="{00000000-0005-0000-0000-00008E090000}"/>
    <cellStyle name="Notas 23 2" xfId="2847" xr:uid="{00000000-0005-0000-0000-00008F090000}"/>
    <cellStyle name="Notas 24" xfId="1519" xr:uid="{00000000-0005-0000-0000-000090090000}"/>
    <cellStyle name="Notas 24 2" xfId="2848" xr:uid="{00000000-0005-0000-0000-000091090000}"/>
    <cellStyle name="Notas 25" xfId="1520" xr:uid="{00000000-0005-0000-0000-000092090000}"/>
    <cellStyle name="Notas 25 2" xfId="2849" xr:uid="{00000000-0005-0000-0000-000093090000}"/>
    <cellStyle name="Notas 26" xfId="1521" xr:uid="{00000000-0005-0000-0000-000094090000}"/>
    <cellStyle name="Notas 26 2" xfId="2850" xr:uid="{00000000-0005-0000-0000-000095090000}"/>
    <cellStyle name="Notas 27" xfId="1522" xr:uid="{00000000-0005-0000-0000-000096090000}"/>
    <cellStyle name="Notas 27 2" xfId="2851" xr:uid="{00000000-0005-0000-0000-000097090000}"/>
    <cellStyle name="Notas 28" xfId="1523" xr:uid="{00000000-0005-0000-0000-000098090000}"/>
    <cellStyle name="Notas 28 2" xfId="2852" xr:uid="{00000000-0005-0000-0000-000099090000}"/>
    <cellStyle name="Notas 29" xfId="1524" xr:uid="{00000000-0005-0000-0000-00009A090000}"/>
    <cellStyle name="Notas 29 2" xfId="2853" xr:uid="{00000000-0005-0000-0000-00009B090000}"/>
    <cellStyle name="Notas 3" xfId="1525" xr:uid="{00000000-0005-0000-0000-00009C090000}"/>
    <cellStyle name="Notas 3 2" xfId="2854" xr:uid="{00000000-0005-0000-0000-00009D090000}"/>
    <cellStyle name="Notas 30" xfId="1526" xr:uid="{00000000-0005-0000-0000-00009E090000}"/>
    <cellStyle name="Notas 30 2" xfId="2855" xr:uid="{00000000-0005-0000-0000-00009F090000}"/>
    <cellStyle name="Notas 31" xfId="1527" xr:uid="{00000000-0005-0000-0000-0000A0090000}"/>
    <cellStyle name="Notas 31 2" xfId="2856" xr:uid="{00000000-0005-0000-0000-0000A1090000}"/>
    <cellStyle name="Notas 32" xfId="1528" xr:uid="{00000000-0005-0000-0000-0000A2090000}"/>
    <cellStyle name="Notas 32 2" xfId="2857" xr:uid="{00000000-0005-0000-0000-0000A3090000}"/>
    <cellStyle name="Notas 33" xfId="1529" xr:uid="{00000000-0005-0000-0000-0000A4090000}"/>
    <cellStyle name="Notas 33 2" xfId="2858" xr:uid="{00000000-0005-0000-0000-0000A5090000}"/>
    <cellStyle name="Notas 34" xfId="1530" xr:uid="{00000000-0005-0000-0000-0000A6090000}"/>
    <cellStyle name="Notas 34 2" xfId="2859" xr:uid="{00000000-0005-0000-0000-0000A7090000}"/>
    <cellStyle name="Notas 35" xfId="1531" xr:uid="{00000000-0005-0000-0000-0000A8090000}"/>
    <cellStyle name="Notas 35 2" xfId="2860" xr:uid="{00000000-0005-0000-0000-0000A9090000}"/>
    <cellStyle name="Notas 36" xfId="1532" xr:uid="{00000000-0005-0000-0000-0000AA090000}"/>
    <cellStyle name="Notas 36 2" xfId="2861" xr:uid="{00000000-0005-0000-0000-0000AB090000}"/>
    <cellStyle name="Notas 37" xfId="1533" xr:uid="{00000000-0005-0000-0000-0000AC090000}"/>
    <cellStyle name="Notas 37 2" xfId="2862" xr:uid="{00000000-0005-0000-0000-0000AD090000}"/>
    <cellStyle name="Notas 38" xfId="1534" xr:uid="{00000000-0005-0000-0000-0000AE090000}"/>
    <cellStyle name="Notas 38 2" xfId="2863" xr:uid="{00000000-0005-0000-0000-0000AF090000}"/>
    <cellStyle name="Notas 39" xfId="1535" xr:uid="{00000000-0005-0000-0000-0000B0090000}"/>
    <cellStyle name="Notas 39 2" xfId="2864" xr:uid="{00000000-0005-0000-0000-0000B1090000}"/>
    <cellStyle name="Notas 4" xfId="1536" xr:uid="{00000000-0005-0000-0000-0000B2090000}"/>
    <cellStyle name="Notas 4 2" xfId="2865" xr:uid="{00000000-0005-0000-0000-0000B3090000}"/>
    <cellStyle name="Notas 40" xfId="1537" xr:uid="{00000000-0005-0000-0000-0000B4090000}"/>
    <cellStyle name="Notas 40 2" xfId="2866" xr:uid="{00000000-0005-0000-0000-0000B5090000}"/>
    <cellStyle name="Notas 41" xfId="1538" xr:uid="{00000000-0005-0000-0000-0000B6090000}"/>
    <cellStyle name="Notas 41 2" xfId="2867" xr:uid="{00000000-0005-0000-0000-0000B7090000}"/>
    <cellStyle name="Notas 42" xfId="1539" xr:uid="{00000000-0005-0000-0000-0000B8090000}"/>
    <cellStyle name="Notas 42 2" xfId="2868" xr:uid="{00000000-0005-0000-0000-0000B9090000}"/>
    <cellStyle name="Notas 43" xfId="1540" xr:uid="{00000000-0005-0000-0000-0000BA090000}"/>
    <cellStyle name="Notas 43 2" xfId="2869" xr:uid="{00000000-0005-0000-0000-0000BB090000}"/>
    <cellStyle name="Notas 44" xfId="1541" xr:uid="{00000000-0005-0000-0000-0000BC090000}"/>
    <cellStyle name="Notas 44 2" xfId="2870" xr:uid="{00000000-0005-0000-0000-0000BD090000}"/>
    <cellStyle name="Notas 45" xfId="1542" xr:uid="{00000000-0005-0000-0000-0000BE090000}"/>
    <cellStyle name="Notas 45 2" xfId="2871" xr:uid="{00000000-0005-0000-0000-0000BF090000}"/>
    <cellStyle name="Notas 46" xfId="1543" xr:uid="{00000000-0005-0000-0000-0000C0090000}"/>
    <cellStyle name="Notas 46 2" xfId="2872" xr:uid="{00000000-0005-0000-0000-0000C1090000}"/>
    <cellStyle name="Notas 5" xfId="1544" xr:uid="{00000000-0005-0000-0000-0000C2090000}"/>
    <cellStyle name="Notas 5 2" xfId="2873" xr:uid="{00000000-0005-0000-0000-0000C3090000}"/>
    <cellStyle name="Notas 6" xfId="1545" xr:uid="{00000000-0005-0000-0000-0000C4090000}"/>
    <cellStyle name="Notas 6 2" xfId="2874" xr:uid="{00000000-0005-0000-0000-0000C5090000}"/>
    <cellStyle name="Notas 7" xfId="1546" xr:uid="{00000000-0005-0000-0000-0000C6090000}"/>
    <cellStyle name="Notas 7 2" xfId="2875" xr:uid="{00000000-0005-0000-0000-0000C7090000}"/>
    <cellStyle name="Notas 8" xfId="1547" xr:uid="{00000000-0005-0000-0000-0000C8090000}"/>
    <cellStyle name="Notas 8 2" xfId="2876" xr:uid="{00000000-0005-0000-0000-0000C9090000}"/>
    <cellStyle name="Notas 9" xfId="1548" xr:uid="{00000000-0005-0000-0000-0000CA090000}"/>
    <cellStyle name="Notas 9 2" xfId="2877" xr:uid="{00000000-0005-0000-0000-0000CB090000}"/>
    <cellStyle name="Porcentaje" xfId="1549" builtinId="5"/>
    <cellStyle name="Porcentaje 2" xfId="2951" xr:uid="{F4845257-8D83-4310-B26B-4E971FAED11A}"/>
    <cellStyle name="Porcentual 2" xfId="1550" xr:uid="{00000000-0005-0000-0000-0000CD090000}"/>
    <cellStyle name="Salida" xfId="2050" builtinId="21" customBuiltin="1"/>
    <cellStyle name="Salida 1" xfId="1551" xr:uid="{00000000-0005-0000-0000-0000CF090000}"/>
    <cellStyle name="Salida 10" xfId="1552" xr:uid="{00000000-0005-0000-0000-0000D0090000}"/>
    <cellStyle name="Salida 11" xfId="1553" xr:uid="{00000000-0005-0000-0000-0000D1090000}"/>
    <cellStyle name="Salida 12" xfId="1554" xr:uid="{00000000-0005-0000-0000-0000D2090000}"/>
    <cellStyle name="Salida 13" xfId="1555" xr:uid="{00000000-0005-0000-0000-0000D3090000}"/>
    <cellStyle name="Salida 14" xfId="1556" xr:uid="{00000000-0005-0000-0000-0000D4090000}"/>
    <cellStyle name="Salida 15" xfId="1557" xr:uid="{00000000-0005-0000-0000-0000D5090000}"/>
    <cellStyle name="Salida 16" xfId="1558" xr:uid="{00000000-0005-0000-0000-0000D6090000}"/>
    <cellStyle name="Salida 17" xfId="1559" xr:uid="{00000000-0005-0000-0000-0000D7090000}"/>
    <cellStyle name="Salida 18" xfId="1560" xr:uid="{00000000-0005-0000-0000-0000D8090000}"/>
    <cellStyle name="Salida 19" xfId="1561" xr:uid="{00000000-0005-0000-0000-0000D9090000}"/>
    <cellStyle name="Salida 2" xfId="1562" xr:uid="{00000000-0005-0000-0000-0000DA090000}"/>
    <cellStyle name="Salida 20" xfId="1563" xr:uid="{00000000-0005-0000-0000-0000DB090000}"/>
    <cellStyle name="Salida 21" xfId="1564" xr:uid="{00000000-0005-0000-0000-0000DC090000}"/>
    <cellStyle name="Salida 22" xfId="1565" xr:uid="{00000000-0005-0000-0000-0000DD090000}"/>
    <cellStyle name="Salida 23" xfId="1566" xr:uid="{00000000-0005-0000-0000-0000DE090000}"/>
    <cellStyle name="Salida 24" xfId="1567" xr:uid="{00000000-0005-0000-0000-0000DF090000}"/>
    <cellStyle name="Salida 25" xfId="1568" xr:uid="{00000000-0005-0000-0000-0000E0090000}"/>
    <cellStyle name="Salida 26" xfId="1569" xr:uid="{00000000-0005-0000-0000-0000E1090000}"/>
    <cellStyle name="Salida 27" xfId="1570" xr:uid="{00000000-0005-0000-0000-0000E2090000}"/>
    <cellStyle name="Salida 28" xfId="1571" xr:uid="{00000000-0005-0000-0000-0000E3090000}"/>
    <cellStyle name="Salida 29" xfId="1572" xr:uid="{00000000-0005-0000-0000-0000E4090000}"/>
    <cellStyle name="Salida 3" xfId="1573" xr:uid="{00000000-0005-0000-0000-0000E5090000}"/>
    <cellStyle name="Salida 30" xfId="1574" xr:uid="{00000000-0005-0000-0000-0000E6090000}"/>
    <cellStyle name="Salida 31" xfId="1575" xr:uid="{00000000-0005-0000-0000-0000E7090000}"/>
    <cellStyle name="Salida 32" xfId="1576" xr:uid="{00000000-0005-0000-0000-0000E8090000}"/>
    <cellStyle name="Salida 33" xfId="1577" xr:uid="{00000000-0005-0000-0000-0000E9090000}"/>
    <cellStyle name="Salida 34" xfId="1578" xr:uid="{00000000-0005-0000-0000-0000EA090000}"/>
    <cellStyle name="Salida 35" xfId="1579" xr:uid="{00000000-0005-0000-0000-0000EB090000}"/>
    <cellStyle name="Salida 36" xfId="1580" xr:uid="{00000000-0005-0000-0000-0000EC090000}"/>
    <cellStyle name="Salida 37" xfId="1581" xr:uid="{00000000-0005-0000-0000-0000ED090000}"/>
    <cellStyle name="Salida 37 2" xfId="2878" xr:uid="{00000000-0005-0000-0000-0000EE090000}"/>
    <cellStyle name="Salida 38" xfId="1582" xr:uid="{00000000-0005-0000-0000-0000EF090000}"/>
    <cellStyle name="Salida 38 2" xfId="2879" xr:uid="{00000000-0005-0000-0000-0000F0090000}"/>
    <cellStyle name="Salida 39" xfId="1583" xr:uid="{00000000-0005-0000-0000-0000F1090000}"/>
    <cellStyle name="Salida 39 2" xfId="2880" xr:uid="{00000000-0005-0000-0000-0000F2090000}"/>
    <cellStyle name="Salida 4" xfId="1584" xr:uid="{00000000-0005-0000-0000-0000F3090000}"/>
    <cellStyle name="Salida 40" xfId="1585" xr:uid="{00000000-0005-0000-0000-0000F4090000}"/>
    <cellStyle name="Salida 40 2" xfId="2881" xr:uid="{00000000-0005-0000-0000-0000F5090000}"/>
    <cellStyle name="Salida 41" xfId="1586" xr:uid="{00000000-0005-0000-0000-0000F6090000}"/>
    <cellStyle name="Salida 41 2" xfId="2882" xr:uid="{00000000-0005-0000-0000-0000F7090000}"/>
    <cellStyle name="Salida 42" xfId="1587" xr:uid="{00000000-0005-0000-0000-0000F8090000}"/>
    <cellStyle name="Salida 42 2" xfId="2883" xr:uid="{00000000-0005-0000-0000-0000F9090000}"/>
    <cellStyle name="Salida 43" xfId="1588" xr:uid="{00000000-0005-0000-0000-0000FA090000}"/>
    <cellStyle name="Salida 43 2" xfId="2884" xr:uid="{00000000-0005-0000-0000-0000FB090000}"/>
    <cellStyle name="Salida 44" xfId="1589" xr:uid="{00000000-0005-0000-0000-0000FC090000}"/>
    <cellStyle name="Salida 44 2" xfId="2885" xr:uid="{00000000-0005-0000-0000-0000FD090000}"/>
    <cellStyle name="Salida 45" xfId="1590" xr:uid="{00000000-0005-0000-0000-0000FE090000}"/>
    <cellStyle name="Salida 45 2" xfId="2886" xr:uid="{00000000-0005-0000-0000-0000FF090000}"/>
    <cellStyle name="Salida 46" xfId="1591" xr:uid="{00000000-0005-0000-0000-0000000A0000}"/>
    <cellStyle name="Salida 5" xfId="1592" xr:uid="{00000000-0005-0000-0000-0000010A0000}"/>
    <cellStyle name="Salida 6" xfId="1593" xr:uid="{00000000-0005-0000-0000-0000020A0000}"/>
    <cellStyle name="Salida 7" xfId="1594" xr:uid="{00000000-0005-0000-0000-0000030A0000}"/>
    <cellStyle name="Salida 8" xfId="1595" xr:uid="{00000000-0005-0000-0000-0000040A0000}"/>
    <cellStyle name="Salida 9" xfId="1596" xr:uid="{00000000-0005-0000-0000-0000050A0000}"/>
    <cellStyle name="Texto de advertencia" xfId="2054" builtinId="11" customBuiltin="1"/>
    <cellStyle name="Texto de advertencia 1" xfId="1597" xr:uid="{00000000-0005-0000-0000-0000070A0000}"/>
    <cellStyle name="Texto de advertencia 10" xfId="1598" xr:uid="{00000000-0005-0000-0000-0000080A0000}"/>
    <cellStyle name="Texto de advertencia 11" xfId="1599" xr:uid="{00000000-0005-0000-0000-0000090A0000}"/>
    <cellStyle name="Texto de advertencia 12" xfId="1600" xr:uid="{00000000-0005-0000-0000-00000A0A0000}"/>
    <cellStyle name="Texto de advertencia 13" xfId="1601" xr:uid="{00000000-0005-0000-0000-00000B0A0000}"/>
    <cellStyle name="Texto de advertencia 14" xfId="1602" xr:uid="{00000000-0005-0000-0000-00000C0A0000}"/>
    <cellStyle name="Texto de advertencia 15" xfId="1603" xr:uid="{00000000-0005-0000-0000-00000D0A0000}"/>
    <cellStyle name="Texto de advertencia 16" xfId="1604" xr:uid="{00000000-0005-0000-0000-00000E0A0000}"/>
    <cellStyle name="Texto de advertencia 17" xfId="1605" xr:uid="{00000000-0005-0000-0000-00000F0A0000}"/>
    <cellStyle name="Texto de advertencia 18" xfId="1606" xr:uid="{00000000-0005-0000-0000-0000100A0000}"/>
    <cellStyle name="Texto de advertencia 19" xfId="1607" xr:uid="{00000000-0005-0000-0000-0000110A0000}"/>
    <cellStyle name="Texto de advertencia 2" xfId="1608" xr:uid="{00000000-0005-0000-0000-0000120A0000}"/>
    <cellStyle name="Texto de advertencia 20" xfId="1609" xr:uid="{00000000-0005-0000-0000-0000130A0000}"/>
    <cellStyle name="Texto de advertencia 21" xfId="1610" xr:uid="{00000000-0005-0000-0000-0000140A0000}"/>
    <cellStyle name="Texto de advertencia 22" xfId="1611" xr:uid="{00000000-0005-0000-0000-0000150A0000}"/>
    <cellStyle name="Texto de advertencia 23" xfId="1612" xr:uid="{00000000-0005-0000-0000-0000160A0000}"/>
    <cellStyle name="Texto de advertencia 24" xfId="1613" xr:uid="{00000000-0005-0000-0000-0000170A0000}"/>
    <cellStyle name="Texto de advertencia 25" xfId="1614" xr:uid="{00000000-0005-0000-0000-0000180A0000}"/>
    <cellStyle name="Texto de advertencia 26" xfId="1615" xr:uid="{00000000-0005-0000-0000-0000190A0000}"/>
    <cellStyle name="Texto de advertencia 27" xfId="1616" xr:uid="{00000000-0005-0000-0000-00001A0A0000}"/>
    <cellStyle name="Texto de advertencia 28" xfId="1617" xr:uid="{00000000-0005-0000-0000-00001B0A0000}"/>
    <cellStyle name="Texto de advertencia 29" xfId="1618" xr:uid="{00000000-0005-0000-0000-00001C0A0000}"/>
    <cellStyle name="Texto de advertencia 3" xfId="1619" xr:uid="{00000000-0005-0000-0000-00001D0A0000}"/>
    <cellStyle name="Texto de advertencia 30" xfId="1620" xr:uid="{00000000-0005-0000-0000-00001E0A0000}"/>
    <cellStyle name="Texto de advertencia 31" xfId="1621" xr:uid="{00000000-0005-0000-0000-00001F0A0000}"/>
    <cellStyle name="Texto de advertencia 32" xfId="1622" xr:uid="{00000000-0005-0000-0000-0000200A0000}"/>
    <cellStyle name="Texto de advertencia 33" xfId="1623" xr:uid="{00000000-0005-0000-0000-0000210A0000}"/>
    <cellStyle name="Texto de advertencia 34" xfId="1624" xr:uid="{00000000-0005-0000-0000-0000220A0000}"/>
    <cellStyle name="Texto de advertencia 35" xfId="1625" xr:uid="{00000000-0005-0000-0000-0000230A0000}"/>
    <cellStyle name="Texto de advertencia 36" xfId="1626" xr:uid="{00000000-0005-0000-0000-0000240A0000}"/>
    <cellStyle name="Texto de advertencia 37" xfId="1627" xr:uid="{00000000-0005-0000-0000-0000250A0000}"/>
    <cellStyle name="Texto de advertencia 37 2" xfId="2887" xr:uid="{00000000-0005-0000-0000-0000260A0000}"/>
    <cellStyle name="Texto de advertencia 38" xfId="1628" xr:uid="{00000000-0005-0000-0000-0000270A0000}"/>
    <cellStyle name="Texto de advertencia 38 2" xfId="2888" xr:uid="{00000000-0005-0000-0000-0000280A0000}"/>
    <cellStyle name="Texto de advertencia 39" xfId="1629" xr:uid="{00000000-0005-0000-0000-0000290A0000}"/>
    <cellStyle name="Texto de advertencia 39 2" xfId="2889" xr:uid="{00000000-0005-0000-0000-00002A0A0000}"/>
    <cellStyle name="Texto de advertencia 4" xfId="1630" xr:uid="{00000000-0005-0000-0000-00002B0A0000}"/>
    <cellStyle name="Texto de advertencia 40" xfId="1631" xr:uid="{00000000-0005-0000-0000-00002C0A0000}"/>
    <cellStyle name="Texto de advertencia 40 2" xfId="2890" xr:uid="{00000000-0005-0000-0000-00002D0A0000}"/>
    <cellStyle name="Texto de advertencia 41" xfId="1632" xr:uid="{00000000-0005-0000-0000-00002E0A0000}"/>
    <cellStyle name="Texto de advertencia 41 2" xfId="2891" xr:uid="{00000000-0005-0000-0000-00002F0A0000}"/>
    <cellStyle name="Texto de advertencia 42" xfId="1633" xr:uid="{00000000-0005-0000-0000-0000300A0000}"/>
    <cellStyle name="Texto de advertencia 42 2" xfId="2892" xr:uid="{00000000-0005-0000-0000-0000310A0000}"/>
    <cellStyle name="Texto de advertencia 43" xfId="1634" xr:uid="{00000000-0005-0000-0000-0000320A0000}"/>
    <cellStyle name="Texto de advertencia 43 2" xfId="2893" xr:uid="{00000000-0005-0000-0000-0000330A0000}"/>
    <cellStyle name="Texto de advertencia 44" xfId="1635" xr:uid="{00000000-0005-0000-0000-0000340A0000}"/>
    <cellStyle name="Texto de advertencia 44 2" xfId="2894" xr:uid="{00000000-0005-0000-0000-0000350A0000}"/>
    <cellStyle name="Texto de advertencia 45" xfId="1636" xr:uid="{00000000-0005-0000-0000-0000360A0000}"/>
    <cellStyle name="Texto de advertencia 45 2" xfId="2895" xr:uid="{00000000-0005-0000-0000-0000370A0000}"/>
    <cellStyle name="Texto de advertencia 5" xfId="1637" xr:uid="{00000000-0005-0000-0000-0000380A0000}"/>
    <cellStyle name="Texto de advertencia 6" xfId="1638" xr:uid="{00000000-0005-0000-0000-0000390A0000}"/>
    <cellStyle name="Texto de advertencia 7" xfId="1639" xr:uid="{00000000-0005-0000-0000-00003A0A0000}"/>
    <cellStyle name="Texto de advertencia 8" xfId="1640" xr:uid="{00000000-0005-0000-0000-00003B0A0000}"/>
    <cellStyle name="Texto de advertencia 9" xfId="1641" xr:uid="{00000000-0005-0000-0000-00003C0A0000}"/>
    <cellStyle name="Texto explicativo" xfId="2056" builtinId="53" customBuiltin="1"/>
    <cellStyle name="Texto explicativo 1" xfId="1642" xr:uid="{00000000-0005-0000-0000-00003E0A0000}"/>
    <cellStyle name="Texto explicativo 10" xfId="1643" xr:uid="{00000000-0005-0000-0000-00003F0A0000}"/>
    <cellStyle name="Texto explicativo 11" xfId="1644" xr:uid="{00000000-0005-0000-0000-0000400A0000}"/>
    <cellStyle name="Texto explicativo 12" xfId="1645" xr:uid="{00000000-0005-0000-0000-0000410A0000}"/>
    <cellStyle name="Texto explicativo 13" xfId="1646" xr:uid="{00000000-0005-0000-0000-0000420A0000}"/>
    <cellStyle name="Texto explicativo 14" xfId="1647" xr:uid="{00000000-0005-0000-0000-0000430A0000}"/>
    <cellStyle name="Texto explicativo 15" xfId="1648" xr:uid="{00000000-0005-0000-0000-0000440A0000}"/>
    <cellStyle name="Texto explicativo 16" xfId="1649" xr:uid="{00000000-0005-0000-0000-0000450A0000}"/>
    <cellStyle name="Texto explicativo 17" xfId="1650" xr:uid="{00000000-0005-0000-0000-0000460A0000}"/>
    <cellStyle name="Texto explicativo 18" xfId="1651" xr:uid="{00000000-0005-0000-0000-0000470A0000}"/>
    <cellStyle name="Texto explicativo 19" xfId="1652" xr:uid="{00000000-0005-0000-0000-0000480A0000}"/>
    <cellStyle name="Texto explicativo 2" xfId="1653" xr:uid="{00000000-0005-0000-0000-0000490A0000}"/>
    <cellStyle name="Texto explicativo 20" xfId="1654" xr:uid="{00000000-0005-0000-0000-00004A0A0000}"/>
    <cellStyle name="Texto explicativo 21" xfId="1655" xr:uid="{00000000-0005-0000-0000-00004B0A0000}"/>
    <cellStyle name="Texto explicativo 22" xfId="1656" xr:uid="{00000000-0005-0000-0000-00004C0A0000}"/>
    <cellStyle name="Texto explicativo 23" xfId="1657" xr:uid="{00000000-0005-0000-0000-00004D0A0000}"/>
    <cellStyle name="Texto explicativo 24" xfId="1658" xr:uid="{00000000-0005-0000-0000-00004E0A0000}"/>
    <cellStyle name="Texto explicativo 25" xfId="1659" xr:uid="{00000000-0005-0000-0000-00004F0A0000}"/>
    <cellStyle name="Texto explicativo 26" xfId="1660" xr:uid="{00000000-0005-0000-0000-0000500A0000}"/>
    <cellStyle name="Texto explicativo 27" xfId="1661" xr:uid="{00000000-0005-0000-0000-0000510A0000}"/>
    <cellStyle name="Texto explicativo 28" xfId="1662" xr:uid="{00000000-0005-0000-0000-0000520A0000}"/>
    <cellStyle name="Texto explicativo 29" xfId="1663" xr:uid="{00000000-0005-0000-0000-0000530A0000}"/>
    <cellStyle name="Texto explicativo 3" xfId="1664" xr:uid="{00000000-0005-0000-0000-0000540A0000}"/>
    <cellStyle name="Texto explicativo 30" xfId="1665" xr:uid="{00000000-0005-0000-0000-0000550A0000}"/>
    <cellStyle name="Texto explicativo 31" xfId="1666" xr:uid="{00000000-0005-0000-0000-0000560A0000}"/>
    <cellStyle name="Texto explicativo 32" xfId="1667" xr:uid="{00000000-0005-0000-0000-0000570A0000}"/>
    <cellStyle name="Texto explicativo 33" xfId="1668" xr:uid="{00000000-0005-0000-0000-0000580A0000}"/>
    <cellStyle name="Texto explicativo 34" xfId="1669" xr:uid="{00000000-0005-0000-0000-0000590A0000}"/>
    <cellStyle name="Texto explicativo 35" xfId="1670" xr:uid="{00000000-0005-0000-0000-00005A0A0000}"/>
    <cellStyle name="Texto explicativo 36" xfId="1671" xr:uid="{00000000-0005-0000-0000-00005B0A0000}"/>
    <cellStyle name="Texto explicativo 37" xfId="1672" xr:uid="{00000000-0005-0000-0000-00005C0A0000}"/>
    <cellStyle name="Texto explicativo 37 2" xfId="2896" xr:uid="{00000000-0005-0000-0000-00005D0A0000}"/>
    <cellStyle name="Texto explicativo 38" xfId="1673" xr:uid="{00000000-0005-0000-0000-00005E0A0000}"/>
    <cellStyle name="Texto explicativo 38 2" xfId="2897" xr:uid="{00000000-0005-0000-0000-00005F0A0000}"/>
    <cellStyle name="Texto explicativo 39" xfId="1674" xr:uid="{00000000-0005-0000-0000-0000600A0000}"/>
    <cellStyle name="Texto explicativo 39 2" xfId="2898" xr:uid="{00000000-0005-0000-0000-0000610A0000}"/>
    <cellStyle name="Texto explicativo 4" xfId="1675" xr:uid="{00000000-0005-0000-0000-0000620A0000}"/>
    <cellStyle name="Texto explicativo 40" xfId="1676" xr:uid="{00000000-0005-0000-0000-0000630A0000}"/>
    <cellStyle name="Texto explicativo 40 2" xfId="2899" xr:uid="{00000000-0005-0000-0000-0000640A0000}"/>
    <cellStyle name="Texto explicativo 41" xfId="1677" xr:uid="{00000000-0005-0000-0000-0000650A0000}"/>
    <cellStyle name="Texto explicativo 41 2" xfId="2900" xr:uid="{00000000-0005-0000-0000-0000660A0000}"/>
    <cellStyle name="Texto explicativo 42" xfId="1678" xr:uid="{00000000-0005-0000-0000-0000670A0000}"/>
    <cellStyle name="Texto explicativo 42 2" xfId="2901" xr:uid="{00000000-0005-0000-0000-0000680A0000}"/>
    <cellStyle name="Texto explicativo 43" xfId="1679" xr:uid="{00000000-0005-0000-0000-0000690A0000}"/>
    <cellStyle name="Texto explicativo 43 2" xfId="2902" xr:uid="{00000000-0005-0000-0000-00006A0A0000}"/>
    <cellStyle name="Texto explicativo 44" xfId="1680" xr:uid="{00000000-0005-0000-0000-00006B0A0000}"/>
    <cellStyle name="Texto explicativo 44 2" xfId="2903" xr:uid="{00000000-0005-0000-0000-00006C0A0000}"/>
    <cellStyle name="Texto explicativo 45" xfId="1681" xr:uid="{00000000-0005-0000-0000-00006D0A0000}"/>
    <cellStyle name="Texto explicativo 45 2" xfId="2904" xr:uid="{00000000-0005-0000-0000-00006E0A0000}"/>
    <cellStyle name="Texto explicativo 5" xfId="1682" xr:uid="{00000000-0005-0000-0000-00006F0A0000}"/>
    <cellStyle name="Texto explicativo 6" xfId="1683" xr:uid="{00000000-0005-0000-0000-0000700A0000}"/>
    <cellStyle name="Texto explicativo 7" xfId="1684" xr:uid="{00000000-0005-0000-0000-0000710A0000}"/>
    <cellStyle name="Texto explicativo 8" xfId="1685" xr:uid="{00000000-0005-0000-0000-0000720A0000}"/>
    <cellStyle name="Texto explicativo 9" xfId="1686" xr:uid="{00000000-0005-0000-0000-0000730A0000}"/>
    <cellStyle name="Título" xfId="2043" builtinId="15" customBuiltin="1"/>
    <cellStyle name="Título 1 1" xfId="1687" xr:uid="{00000000-0005-0000-0000-0000750A0000}"/>
    <cellStyle name="Título 1 10" xfId="1688" xr:uid="{00000000-0005-0000-0000-0000760A0000}"/>
    <cellStyle name="Título 1 11" xfId="1689" xr:uid="{00000000-0005-0000-0000-0000770A0000}"/>
    <cellStyle name="Título 1 12" xfId="1690" xr:uid="{00000000-0005-0000-0000-0000780A0000}"/>
    <cellStyle name="Título 1 13" xfId="1691" xr:uid="{00000000-0005-0000-0000-0000790A0000}"/>
    <cellStyle name="Título 1 14" xfId="1692" xr:uid="{00000000-0005-0000-0000-00007A0A0000}"/>
    <cellStyle name="Título 1 15" xfId="1693" xr:uid="{00000000-0005-0000-0000-00007B0A0000}"/>
    <cellStyle name="Título 1 16" xfId="1694" xr:uid="{00000000-0005-0000-0000-00007C0A0000}"/>
    <cellStyle name="Título 1 17" xfId="1695" xr:uid="{00000000-0005-0000-0000-00007D0A0000}"/>
    <cellStyle name="Título 1 18" xfId="1696" xr:uid="{00000000-0005-0000-0000-00007E0A0000}"/>
    <cellStyle name="Título 1 19" xfId="1697" xr:uid="{00000000-0005-0000-0000-00007F0A0000}"/>
    <cellStyle name="Título 1 2" xfId="1698" xr:uid="{00000000-0005-0000-0000-0000800A0000}"/>
    <cellStyle name="Título 1 20" xfId="1699" xr:uid="{00000000-0005-0000-0000-0000810A0000}"/>
    <cellStyle name="Título 1 21" xfId="1700" xr:uid="{00000000-0005-0000-0000-0000820A0000}"/>
    <cellStyle name="Título 1 22" xfId="1701" xr:uid="{00000000-0005-0000-0000-0000830A0000}"/>
    <cellStyle name="Título 1 23" xfId="1702" xr:uid="{00000000-0005-0000-0000-0000840A0000}"/>
    <cellStyle name="Título 1 24" xfId="1703" xr:uid="{00000000-0005-0000-0000-0000850A0000}"/>
    <cellStyle name="Título 1 25" xfId="1704" xr:uid="{00000000-0005-0000-0000-0000860A0000}"/>
    <cellStyle name="Título 1 26" xfId="1705" xr:uid="{00000000-0005-0000-0000-0000870A0000}"/>
    <cellStyle name="Título 1 27" xfId="1706" xr:uid="{00000000-0005-0000-0000-0000880A0000}"/>
    <cellStyle name="Título 1 28" xfId="1707" xr:uid="{00000000-0005-0000-0000-0000890A0000}"/>
    <cellStyle name="Título 1 29" xfId="1708" xr:uid="{00000000-0005-0000-0000-00008A0A0000}"/>
    <cellStyle name="Título 1 3" xfId="1709" xr:uid="{00000000-0005-0000-0000-00008B0A0000}"/>
    <cellStyle name="Título 1 30" xfId="1710" xr:uid="{00000000-0005-0000-0000-00008C0A0000}"/>
    <cellStyle name="Título 1 31" xfId="1711" xr:uid="{00000000-0005-0000-0000-00008D0A0000}"/>
    <cellStyle name="Título 1 32" xfId="1712" xr:uid="{00000000-0005-0000-0000-00008E0A0000}"/>
    <cellStyle name="Título 1 33" xfId="1713" xr:uid="{00000000-0005-0000-0000-00008F0A0000}"/>
    <cellStyle name="Título 1 34" xfId="1714" xr:uid="{00000000-0005-0000-0000-0000900A0000}"/>
    <cellStyle name="Título 1 35" xfId="1715" xr:uid="{00000000-0005-0000-0000-0000910A0000}"/>
    <cellStyle name="Título 1 36" xfId="1716" xr:uid="{00000000-0005-0000-0000-0000920A0000}"/>
    <cellStyle name="Título 1 37" xfId="1717" xr:uid="{00000000-0005-0000-0000-0000930A0000}"/>
    <cellStyle name="Título 1 37 2" xfId="2905" xr:uid="{00000000-0005-0000-0000-0000940A0000}"/>
    <cellStyle name="Título 1 38" xfId="1718" xr:uid="{00000000-0005-0000-0000-0000950A0000}"/>
    <cellStyle name="Título 1 38 2" xfId="2906" xr:uid="{00000000-0005-0000-0000-0000960A0000}"/>
    <cellStyle name="Título 1 39" xfId="1719" xr:uid="{00000000-0005-0000-0000-0000970A0000}"/>
    <cellStyle name="Título 1 39 2" xfId="2907" xr:uid="{00000000-0005-0000-0000-0000980A0000}"/>
    <cellStyle name="Título 1 4" xfId="1720" xr:uid="{00000000-0005-0000-0000-0000990A0000}"/>
    <cellStyle name="Título 1 40" xfId="1721" xr:uid="{00000000-0005-0000-0000-00009A0A0000}"/>
    <cellStyle name="Título 1 40 2" xfId="2908" xr:uid="{00000000-0005-0000-0000-00009B0A0000}"/>
    <cellStyle name="Título 1 41" xfId="1722" xr:uid="{00000000-0005-0000-0000-00009C0A0000}"/>
    <cellStyle name="Título 1 41 2" xfId="2909" xr:uid="{00000000-0005-0000-0000-00009D0A0000}"/>
    <cellStyle name="Título 1 42" xfId="1723" xr:uid="{00000000-0005-0000-0000-00009E0A0000}"/>
    <cellStyle name="Título 1 42 2" xfId="2910" xr:uid="{00000000-0005-0000-0000-00009F0A0000}"/>
    <cellStyle name="Título 1 43" xfId="1724" xr:uid="{00000000-0005-0000-0000-0000A00A0000}"/>
    <cellStyle name="Título 1 43 2" xfId="2911" xr:uid="{00000000-0005-0000-0000-0000A10A0000}"/>
    <cellStyle name="Título 1 44" xfId="1725" xr:uid="{00000000-0005-0000-0000-0000A20A0000}"/>
    <cellStyle name="Título 1 44 2" xfId="2912" xr:uid="{00000000-0005-0000-0000-0000A30A0000}"/>
    <cellStyle name="Título 1 45" xfId="1726" xr:uid="{00000000-0005-0000-0000-0000A40A0000}"/>
    <cellStyle name="Título 1 45 2" xfId="2913" xr:uid="{00000000-0005-0000-0000-0000A50A0000}"/>
    <cellStyle name="Título 1 5" xfId="1727" xr:uid="{00000000-0005-0000-0000-0000A60A0000}"/>
    <cellStyle name="Título 1 6" xfId="1728" xr:uid="{00000000-0005-0000-0000-0000A70A0000}"/>
    <cellStyle name="Título 1 7" xfId="1729" xr:uid="{00000000-0005-0000-0000-0000A80A0000}"/>
    <cellStyle name="Título 1 8" xfId="1730" xr:uid="{00000000-0005-0000-0000-0000A90A0000}"/>
    <cellStyle name="Título 1 9" xfId="1731" xr:uid="{00000000-0005-0000-0000-0000AA0A0000}"/>
    <cellStyle name="Título 10" xfId="1732" xr:uid="{00000000-0005-0000-0000-0000AB0A0000}"/>
    <cellStyle name="Título 11" xfId="1733" xr:uid="{00000000-0005-0000-0000-0000AC0A0000}"/>
    <cellStyle name="Título 12" xfId="1734" xr:uid="{00000000-0005-0000-0000-0000AD0A0000}"/>
    <cellStyle name="Título 13" xfId="1735" xr:uid="{00000000-0005-0000-0000-0000AE0A0000}"/>
    <cellStyle name="Título 14" xfId="1736" xr:uid="{00000000-0005-0000-0000-0000AF0A0000}"/>
    <cellStyle name="Título 15" xfId="1737" xr:uid="{00000000-0005-0000-0000-0000B00A0000}"/>
    <cellStyle name="Título 16" xfId="1738" xr:uid="{00000000-0005-0000-0000-0000B10A0000}"/>
    <cellStyle name="Título 17" xfId="1739" xr:uid="{00000000-0005-0000-0000-0000B20A0000}"/>
    <cellStyle name="Título 18" xfId="1740" xr:uid="{00000000-0005-0000-0000-0000B30A0000}"/>
    <cellStyle name="Título 19" xfId="1741" xr:uid="{00000000-0005-0000-0000-0000B40A0000}"/>
    <cellStyle name="Título 2" xfId="2044" builtinId="17" customBuiltin="1"/>
    <cellStyle name="Título 2 1" xfId="1742" xr:uid="{00000000-0005-0000-0000-0000B60A0000}"/>
    <cellStyle name="Título 2 10" xfId="1743" xr:uid="{00000000-0005-0000-0000-0000B70A0000}"/>
    <cellStyle name="Título 2 11" xfId="1744" xr:uid="{00000000-0005-0000-0000-0000B80A0000}"/>
    <cellStyle name="Título 2 12" xfId="1745" xr:uid="{00000000-0005-0000-0000-0000B90A0000}"/>
    <cellStyle name="Título 2 13" xfId="1746" xr:uid="{00000000-0005-0000-0000-0000BA0A0000}"/>
    <cellStyle name="Título 2 14" xfId="1747" xr:uid="{00000000-0005-0000-0000-0000BB0A0000}"/>
    <cellStyle name="Título 2 15" xfId="1748" xr:uid="{00000000-0005-0000-0000-0000BC0A0000}"/>
    <cellStyle name="Título 2 16" xfId="1749" xr:uid="{00000000-0005-0000-0000-0000BD0A0000}"/>
    <cellStyle name="Título 2 17" xfId="1750" xr:uid="{00000000-0005-0000-0000-0000BE0A0000}"/>
    <cellStyle name="Título 2 18" xfId="1751" xr:uid="{00000000-0005-0000-0000-0000BF0A0000}"/>
    <cellStyle name="Título 2 19" xfId="1752" xr:uid="{00000000-0005-0000-0000-0000C00A0000}"/>
    <cellStyle name="Título 2 2" xfId="1753" xr:uid="{00000000-0005-0000-0000-0000C10A0000}"/>
    <cellStyle name="Título 2 20" xfId="1754" xr:uid="{00000000-0005-0000-0000-0000C20A0000}"/>
    <cellStyle name="Título 2 21" xfId="1755" xr:uid="{00000000-0005-0000-0000-0000C30A0000}"/>
    <cellStyle name="Título 2 22" xfId="1756" xr:uid="{00000000-0005-0000-0000-0000C40A0000}"/>
    <cellStyle name="Título 2 23" xfId="1757" xr:uid="{00000000-0005-0000-0000-0000C50A0000}"/>
    <cellStyle name="Título 2 24" xfId="1758" xr:uid="{00000000-0005-0000-0000-0000C60A0000}"/>
    <cellStyle name="Título 2 25" xfId="1759" xr:uid="{00000000-0005-0000-0000-0000C70A0000}"/>
    <cellStyle name="Título 2 26" xfId="1760" xr:uid="{00000000-0005-0000-0000-0000C80A0000}"/>
    <cellStyle name="Título 2 27" xfId="1761" xr:uid="{00000000-0005-0000-0000-0000C90A0000}"/>
    <cellStyle name="Título 2 28" xfId="1762" xr:uid="{00000000-0005-0000-0000-0000CA0A0000}"/>
    <cellStyle name="Título 2 29" xfId="1763" xr:uid="{00000000-0005-0000-0000-0000CB0A0000}"/>
    <cellStyle name="Título 2 3" xfId="1764" xr:uid="{00000000-0005-0000-0000-0000CC0A0000}"/>
    <cellStyle name="Título 2 30" xfId="1765" xr:uid="{00000000-0005-0000-0000-0000CD0A0000}"/>
    <cellStyle name="Título 2 31" xfId="1766" xr:uid="{00000000-0005-0000-0000-0000CE0A0000}"/>
    <cellStyle name="Título 2 32" xfId="1767" xr:uid="{00000000-0005-0000-0000-0000CF0A0000}"/>
    <cellStyle name="Título 2 33" xfId="1768" xr:uid="{00000000-0005-0000-0000-0000D00A0000}"/>
    <cellStyle name="Título 2 34" xfId="1769" xr:uid="{00000000-0005-0000-0000-0000D10A0000}"/>
    <cellStyle name="Título 2 35" xfId="1770" xr:uid="{00000000-0005-0000-0000-0000D20A0000}"/>
    <cellStyle name="Título 2 36" xfId="1771" xr:uid="{00000000-0005-0000-0000-0000D30A0000}"/>
    <cellStyle name="Título 2 37" xfId="1772" xr:uid="{00000000-0005-0000-0000-0000D40A0000}"/>
    <cellStyle name="Título 2 37 2" xfId="2914" xr:uid="{00000000-0005-0000-0000-0000D50A0000}"/>
    <cellStyle name="Título 2 38" xfId="1773" xr:uid="{00000000-0005-0000-0000-0000D60A0000}"/>
    <cellStyle name="Título 2 38 2" xfId="2915" xr:uid="{00000000-0005-0000-0000-0000D70A0000}"/>
    <cellStyle name="Título 2 39" xfId="1774" xr:uid="{00000000-0005-0000-0000-0000D80A0000}"/>
    <cellStyle name="Título 2 39 2" xfId="2916" xr:uid="{00000000-0005-0000-0000-0000D90A0000}"/>
    <cellStyle name="Título 2 4" xfId="1775" xr:uid="{00000000-0005-0000-0000-0000DA0A0000}"/>
    <cellStyle name="Título 2 40" xfId="1776" xr:uid="{00000000-0005-0000-0000-0000DB0A0000}"/>
    <cellStyle name="Título 2 40 2" xfId="2917" xr:uid="{00000000-0005-0000-0000-0000DC0A0000}"/>
    <cellStyle name="Título 2 41" xfId="1777" xr:uid="{00000000-0005-0000-0000-0000DD0A0000}"/>
    <cellStyle name="Título 2 41 2" xfId="2918" xr:uid="{00000000-0005-0000-0000-0000DE0A0000}"/>
    <cellStyle name="Título 2 42" xfId="1778" xr:uid="{00000000-0005-0000-0000-0000DF0A0000}"/>
    <cellStyle name="Título 2 42 2" xfId="2919" xr:uid="{00000000-0005-0000-0000-0000E00A0000}"/>
    <cellStyle name="Título 2 43" xfId="1779" xr:uid="{00000000-0005-0000-0000-0000E10A0000}"/>
    <cellStyle name="Título 2 43 2" xfId="2920" xr:uid="{00000000-0005-0000-0000-0000E20A0000}"/>
    <cellStyle name="Título 2 44" xfId="1780" xr:uid="{00000000-0005-0000-0000-0000E30A0000}"/>
    <cellStyle name="Título 2 44 2" xfId="2921" xr:uid="{00000000-0005-0000-0000-0000E40A0000}"/>
    <cellStyle name="Título 2 45" xfId="1781" xr:uid="{00000000-0005-0000-0000-0000E50A0000}"/>
    <cellStyle name="Título 2 45 2" xfId="2922" xr:uid="{00000000-0005-0000-0000-0000E60A0000}"/>
    <cellStyle name="Título 2 5" xfId="1782" xr:uid="{00000000-0005-0000-0000-0000E70A0000}"/>
    <cellStyle name="Título 2 6" xfId="1783" xr:uid="{00000000-0005-0000-0000-0000E80A0000}"/>
    <cellStyle name="Título 2 7" xfId="1784" xr:uid="{00000000-0005-0000-0000-0000E90A0000}"/>
    <cellStyle name="Título 2 8" xfId="1785" xr:uid="{00000000-0005-0000-0000-0000EA0A0000}"/>
    <cellStyle name="Título 2 9" xfId="1786" xr:uid="{00000000-0005-0000-0000-0000EB0A0000}"/>
    <cellStyle name="Título 20" xfId="1787" xr:uid="{00000000-0005-0000-0000-0000EC0A0000}"/>
    <cellStyle name="Título 21" xfId="1788" xr:uid="{00000000-0005-0000-0000-0000ED0A0000}"/>
    <cellStyle name="Título 22" xfId="1789" xr:uid="{00000000-0005-0000-0000-0000EE0A0000}"/>
    <cellStyle name="Título 23" xfId="1790" xr:uid="{00000000-0005-0000-0000-0000EF0A0000}"/>
    <cellStyle name="Título 24" xfId="1791" xr:uid="{00000000-0005-0000-0000-0000F00A0000}"/>
    <cellStyle name="Título 25" xfId="1792" xr:uid="{00000000-0005-0000-0000-0000F10A0000}"/>
    <cellStyle name="Título 26" xfId="1793" xr:uid="{00000000-0005-0000-0000-0000F20A0000}"/>
    <cellStyle name="Título 27" xfId="1794" xr:uid="{00000000-0005-0000-0000-0000F30A0000}"/>
    <cellStyle name="Título 28" xfId="1795" xr:uid="{00000000-0005-0000-0000-0000F40A0000}"/>
    <cellStyle name="Título 29" xfId="1796" xr:uid="{00000000-0005-0000-0000-0000F50A0000}"/>
    <cellStyle name="Título 3" xfId="2045" builtinId="18" customBuiltin="1"/>
    <cellStyle name="Título 3 1" xfId="1797" xr:uid="{00000000-0005-0000-0000-0000F70A0000}"/>
    <cellStyle name="Título 3 10" xfId="1798" xr:uid="{00000000-0005-0000-0000-0000F80A0000}"/>
    <cellStyle name="Título 3 11" xfId="1799" xr:uid="{00000000-0005-0000-0000-0000F90A0000}"/>
    <cellStyle name="Título 3 12" xfId="1800" xr:uid="{00000000-0005-0000-0000-0000FA0A0000}"/>
    <cellStyle name="Título 3 13" xfId="1801" xr:uid="{00000000-0005-0000-0000-0000FB0A0000}"/>
    <cellStyle name="Título 3 14" xfId="1802" xr:uid="{00000000-0005-0000-0000-0000FC0A0000}"/>
    <cellStyle name="Título 3 15" xfId="1803" xr:uid="{00000000-0005-0000-0000-0000FD0A0000}"/>
    <cellStyle name="Título 3 16" xfId="1804" xr:uid="{00000000-0005-0000-0000-0000FE0A0000}"/>
    <cellStyle name="Título 3 17" xfId="1805" xr:uid="{00000000-0005-0000-0000-0000FF0A0000}"/>
    <cellStyle name="Título 3 18" xfId="1806" xr:uid="{00000000-0005-0000-0000-0000000B0000}"/>
    <cellStyle name="Título 3 19" xfId="1807" xr:uid="{00000000-0005-0000-0000-0000010B0000}"/>
    <cellStyle name="Título 3 2" xfId="1808" xr:uid="{00000000-0005-0000-0000-0000020B0000}"/>
    <cellStyle name="Título 3 20" xfId="1809" xr:uid="{00000000-0005-0000-0000-0000030B0000}"/>
    <cellStyle name="Título 3 21" xfId="1810" xr:uid="{00000000-0005-0000-0000-0000040B0000}"/>
    <cellStyle name="Título 3 22" xfId="1811" xr:uid="{00000000-0005-0000-0000-0000050B0000}"/>
    <cellStyle name="Título 3 23" xfId="1812" xr:uid="{00000000-0005-0000-0000-0000060B0000}"/>
    <cellStyle name="Título 3 24" xfId="1813" xr:uid="{00000000-0005-0000-0000-0000070B0000}"/>
    <cellStyle name="Título 3 25" xfId="1814" xr:uid="{00000000-0005-0000-0000-0000080B0000}"/>
    <cellStyle name="Título 3 26" xfId="1815" xr:uid="{00000000-0005-0000-0000-0000090B0000}"/>
    <cellStyle name="Título 3 27" xfId="1816" xr:uid="{00000000-0005-0000-0000-00000A0B0000}"/>
    <cellStyle name="Título 3 28" xfId="1817" xr:uid="{00000000-0005-0000-0000-00000B0B0000}"/>
    <cellStyle name="Título 3 29" xfId="1818" xr:uid="{00000000-0005-0000-0000-00000C0B0000}"/>
    <cellStyle name="Título 3 3" xfId="1819" xr:uid="{00000000-0005-0000-0000-00000D0B0000}"/>
    <cellStyle name="Título 3 30" xfId="1820" xr:uid="{00000000-0005-0000-0000-00000E0B0000}"/>
    <cellStyle name="Título 3 31" xfId="1821" xr:uid="{00000000-0005-0000-0000-00000F0B0000}"/>
    <cellStyle name="Título 3 32" xfId="1822" xr:uid="{00000000-0005-0000-0000-0000100B0000}"/>
    <cellStyle name="Título 3 33" xfId="1823" xr:uid="{00000000-0005-0000-0000-0000110B0000}"/>
    <cellStyle name="Título 3 34" xfId="1824" xr:uid="{00000000-0005-0000-0000-0000120B0000}"/>
    <cellStyle name="Título 3 35" xfId="1825" xr:uid="{00000000-0005-0000-0000-0000130B0000}"/>
    <cellStyle name="Título 3 36" xfId="1826" xr:uid="{00000000-0005-0000-0000-0000140B0000}"/>
    <cellStyle name="Título 3 37" xfId="1827" xr:uid="{00000000-0005-0000-0000-0000150B0000}"/>
    <cellStyle name="Título 3 37 2" xfId="2923" xr:uid="{00000000-0005-0000-0000-0000160B0000}"/>
    <cellStyle name="Título 3 38" xfId="1828" xr:uid="{00000000-0005-0000-0000-0000170B0000}"/>
    <cellStyle name="Título 3 38 2" xfId="2924" xr:uid="{00000000-0005-0000-0000-0000180B0000}"/>
    <cellStyle name="Título 3 39" xfId="1829" xr:uid="{00000000-0005-0000-0000-0000190B0000}"/>
    <cellStyle name="Título 3 39 2" xfId="2925" xr:uid="{00000000-0005-0000-0000-00001A0B0000}"/>
    <cellStyle name="Título 3 4" xfId="1830" xr:uid="{00000000-0005-0000-0000-00001B0B0000}"/>
    <cellStyle name="Título 3 40" xfId="1831" xr:uid="{00000000-0005-0000-0000-00001C0B0000}"/>
    <cellStyle name="Título 3 40 2" xfId="2926" xr:uid="{00000000-0005-0000-0000-00001D0B0000}"/>
    <cellStyle name="Título 3 41" xfId="1832" xr:uid="{00000000-0005-0000-0000-00001E0B0000}"/>
    <cellStyle name="Título 3 41 2" xfId="2927" xr:uid="{00000000-0005-0000-0000-00001F0B0000}"/>
    <cellStyle name="Título 3 42" xfId="1833" xr:uid="{00000000-0005-0000-0000-0000200B0000}"/>
    <cellStyle name="Título 3 42 2" xfId="2928" xr:uid="{00000000-0005-0000-0000-0000210B0000}"/>
    <cellStyle name="Título 3 43" xfId="1834" xr:uid="{00000000-0005-0000-0000-0000220B0000}"/>
    <cellStyle name="Título 3 43 2" xfId="2929" xr:uid="{00000000-0005-0000-0000-0000230B0000}"/>
    <cellStyle name="Título 3 44" xfId="1835" xr:uid="{00000000-0005-0000-0000-0000240B0000}"/>
    <cellStyle name="Título 3 44 2" xfId="2930" xr:uid="{00000000-0005-0000-0000-0000250B0000}"/>
    <cellStyle name="Título 3 45" xfId="1836" xr:uid="{00000000-0005-0000-0000-0000260B0000}"/>
    <cellStyle name="Título 3 45 2" xfId="2931" xr:uid="{00000000-0005-0000-0000-0000270B0000}"/>
    <cellStyle name="Título 3 5" xfId="1837" xr:uid="{00000000-0005-0000-0000-0000280B0000}"/>
    <cellStyle name="Título 3 6" xfId="1838" xr:uid="{00000000-0005-0000-0000-0000290B0000}"/>
    <cellStyle name="Título 3 7" xfId="1839" xr:uid="{00000000-0005-0000-0000-00002A0B0000}"/>
    <cellStyle name="Título 3 8" xfId="1840" xr:uid="{00000000-0005-0000-0000-00002B0B0000}"/>
    <cellStyle name="Título 3 9" xfId="1841" xr:uid="{00000000-0005-0000-0000-00002C0B0000}"/>
    <cellStyle name="Título 30" xfId="1842" xr:uid="{00000000-0005-0000-0000-00002D0B0000}"/>
    <cellStyle name="Título 31" xfId="1843" xr:uid="{00000000-0005-0000-0000-00002E0B0000}"/>
    <cellStyle name="Título 32" xfId="1844" xr:uid="{00000000-0005-0000-0000-00002F0B0000}"/>
    <cellStyle name="Título 33" xfId="1845" xr:uid="{00000000-0005-0000-0000-0000300B0000}"/>
    <cellStyle name="Título 34" xfId="1846" xr:uid="{00000000-0005-0000-0000-0000310B0000}"/>
    <cellStyle name="Título 35" xfId="1847" xr:uid="{00000000-0005-0000-0000-0000320B0000}"/>
    <cellStyle name="Título 36" xfId="1848" xr:uid="{00000000-0005-0000-0000-0000330B0000}"/>
    <cellStyle name="Título 37" xfId="1849" xr:uid="{00000000-0005-0000-0000-0000340B0000}"/>
    <cellStyle name="Título 38" xfId="1850" xr:uid="{00000000-0005-0000-0000-0000350B0000}"/>
    <cellStyle name="Título 39" xfId="1851" xr:uid="{00000000-0005-0000-0000-0000360B0000}"/>
    <cellStyle name="Título 4" xfId="1852" xr:uid="{00000000-0005-0000-0000-0000370B0000}"/>
    <cellStyle name="Título 40" xfId="1853" xr:uid="{00000000-0005-0000-0000-0000380B0000}"/>
    <cellStyle name="Título 40 2" xfId="2932" xr:uid="{00000000-0005-0000-0000-0000390B0000}"/>
    <cellStyle name="Título 41" xfId="1854" xr:uid="{00000000-0005-0000-0000-00003A0B0000}"/>
    <cellStyle name="Título 41 2" xfId="2933" xr:uid="{00000000-0005-0000-0000-00003B0B0000}"/>
    <cellStyle name="Título 42" xfId="1855" xr:uid="{00000000-0005-0000-0000-00003C0B0000}"/>
    <cellStyle name="Título 42 2" xfId="2934" xr:uid="{00000000-0005-0000-0000-00003D0B0000}"/>
    <cellStyle name="Título 43" xfId="1856" xr:uid="{00000000-0005-0000-0000-00003E0B0000}"/>
    <cellStyle name="Título 43 2" xfId="2935" xr:uid="{00000000-0005-0000-0000-00003F0B0000}"/>
    <cellStyle name="Título 44" xfId="1857" xr:uid="{00000000-0005-0000-0000-0000400B0000}"/>
    <cellStyle name="Título 44 2" xfId="2936" xr:uid="{00000000-0005-0000-0000-0000410B0000}"/>
    <cellStyle name="Título 45" xfId="1858" xr:uid="{00000000-0005-0000-0000-0000420B0000}"/>
    <cellStyle name="Título 45 2" xfId="2937" xr:uid="{00000000-0005-0000-0000-0000430B0000}"/>
    <cellStyle name="Título 46" xfId="1859" xr:uid="{00000000-0005-0000-0000-0000440B0000}"/>
    <cellStyle name="Título 46 2" xfId="2938" xr:uid="{00000000-0005-0000-0000-0000450B0000}"/>
    <cellStyle name="Título 47" xfId="1860" xr:uid="{00000000-0005-0000-0000-0000460B0000}"/>
    <cellStyle name="Título 47 2" xfId="2939" xr:uid="{00000000-0005-0000-0000-0000470B0000}"/>
    <cellStyle name="Título 48" xfId="1861" xr:uid="{00000000-0005-0000-0000-0000480B0000}"/>
    <cellStyle name="Título 48 2" xfId="2940" xr:uid="{00000000-0005-0000-0000-0000490B0000}"/>
    <cellStyle name="Título 5" xfId="1862" xr:uid="{00000000-0005-0000-0000-00004A0B0000}"/>
    <cellStyle name="Título 6" xfId="1863" xr:uid="{00000000-0005-0000-0000-00004B0B0000}"/>
    <cellStyle name="Título 7" xfId="1864" xr:uid="{00000000-0005-0000-0000-00004C0B0000}"/>
    <cellStyle name="Título 8" xfId="1865" xr:uid="{00000000-0005-0000-0000-00004D0B0000}"/>
    <cellStyle name="Título 9" xfId="1866" xr:uid="{00000000-0005-0000-0000-00004E0B0000}"/>
    <cellStyle name="Total" xfId="2057" builtinId="25" customBuiltin="1"/>
    <cellStyle name="Total 1" xfId="1867" xr:uid="{00000000-0005-0000-0000-0000500B0000}"/>
    <cellStyle name="Total 10" xfId="1868" xr:uid="{00000000-0005-0000-0000-0000510B0000}"/>
    <cellStyle name="Total 11" xfId="1869" xr:uid="{00000000-0005-0000-0000-0000520B0000}"/>
    <cellStyle name="Total 12" xfId="1870" xr:uid="{00000000-0005-0000-0000-0000530B0000}"/>
    <cellStyle name="Total 13" xfId="1871" xr:uid="{00000000-0005-0000-0000-0000540B0000}"/>
    <cellStyle name="Total 14" xfId="1872" xr:uid="{00000000-0005-0000-0000-0000550B0000}"/>
    <cellStyle name="Total 15" xfId="1873" xr:uid="{00000000-0005-0000-0000-0000560B0000}"/>
    <cellStyle name="Total 16" xfId="1874" xr:uid="{00000000-0005-0000-0000-0000570B0000}"/>
    <cellStyle name="Total 17" xfId="1875" xr:uid="{00000000-0005-0000-0000-0000580B0000}"/>
    <cellStyle name="Total 18" xfId="1876" xr:uid="{00000000-0005-0000-0000-0000590B0000}"/>
    <cellStyle name="Total 19" xfId="1877" xr:uid="{00000000-0005-0000-0000-00005A0B0000}"/>
    <cellStyle name="Total 2" xfId="1878" xr:uid="{00000000-0005-0000-0000-00005B0B0000}"/>
    <cellStyle name="Total 20" xfId="1879" xr:uid="{00000000-0005-0000-0000-00005C0B0000}"/>
    <cellStyle name="Total 21" xfId="1880" xr:uid="{00000000-0005-0000-0000-00005D0B0000}"/>
    <cellStyle name="Total 22" xfId="1881" xr:uid="{00000000-0005-0000-0000-00005E0B0000}"/>
    <cellStyle name="Total 23" xfId="1882" xr:uid="{00000000-0005-0000-0000-00005F0B0000}"/>
    <cellStyle name="Total 24" xfId="1883" xr:uid="{00000000-0005-0000-0000-0000600B0000}"/>
    <cellStyle name="Total 25" xfId="1884" xr:uid="{00000000-0005-0000-0000-0000610B0000}"/>
    <cellStyle name="Total 26" xfId="1885" xr:uid="{00000000-0005-0000-0000-0000620B0000}"/>
    <cellStyle name="Total 27" xfId="1886" xr:uid="{00000000-0005-0000-0000-0000630B0000}"/>
    <cellStyle name="Total 28" xfId="1887" xr:uid="{00000000-0005-0000-0000-0000640B0000}"/>
    <cellStyle name="Total 29" xfId="1888" xr:uid="{00000000-0005-0000-0000-0000650B0000}"/>
    <cellStyle name="Total 3" xfId="1889" xr:uid="{00000000-0005-0000-0000-0000660B0000}"/>
    <cellStyle name="Total 30" xfId="1890" xr:uid="{00000000-0005-0000-0000-0000670B0000}"/>
    <cellStyle name="Total 31" xfId="1891" xr:uid="{00000000-0005-0000-0000-0000680B0000}"/>
    <cellStyle name="Total 32" xfId="1892" xr:uid="{00000000-0005-0000-0000-0000690B0000}"/>
    <cellStyle name="Total 33" xfId="1893" xr:uid="{00000000-0005-0000-0000-00006A0B0000}"/>
    <cellStyle name="Total 34" xfId="1894" xr:uid="{00000000-0005-0000-0000-00006B0B0000}"/>
    <cellStyle name="Total 35" xfId="1895" xr:uid="{00000000-0005-0000-0000-00006C0B0000}"/>
    <cellStyle name="Total 36" xfId="1896" xr:uid="{00000000-0005-0000-0000-00006D0B0000}"/>
    <cellStyle name="Total 37" xfId="1897" xr:uid="{00000000-0005-0000-0000-00006E0B0000}"/>
    <cellStyle name="Total 37 2" xfId="2941" xr:uid="{00000000-0005-0000-0000-00006F0B0000}"/>
    <cellStyle name="Total 38" xfId="1898" xr:uid="{00000000-0005-0000-0000-0000700B0000}"/>
    <cellStyle name="Total 38 2" xfId="2942" xr:uid="{00000000-0005-0000-0000-0000710B0000}"/>
    <cellStyle name="Total 39" xfId="1899" xr:uid="{00000000-0005-0000-0000-0000720B0000}"/>
    <cellStyle name="Total 39 2" xfId="2943" xr:uid="{00000000-0005-0000-0000-0000730B0000}"/>
    <cellStyle name="Total 4" xfId="1900" xr:uid="{00000000-0005-0000-0000-0000740B0000}"/>
    <cellStyle name="Total 40" xfId="1901" xr:uid="{00000000-0005-0000-0000-0000750B0000}"/>
    <cellStyle name="Total 40 2" xfId="2944" xr:uid="{00000000-0005-0000-0000-0000760B0000}"/>
    <cellStyle name="Total 41" xfId="1902" xr:uid="{00000000-0005-0000-0000-0000770B0000}"/>
    <cellStyle name="Total 41 2" xfId="2945" xr:uid="{00000000-0005-0000-0000-0000780B0000}"/>
    <cellStyle name="Total 42" xfId="1903" xr:uid="{00000000-0005-0000-0000-0000790B0000}"/>
    <cellStyle name="Total 42 2" xfId="2946" xr:uid="{00000000-0005-0000-0000-00007A0B0000}"/>
    <cellStyle name="Total 43" xfId="1904" xr:uid="{00000000-0005-0000-0000-00007B0B0000}"/>
    <cellStyle name="Total 43 2" xfId="2947" xr:uid="{00000000-0005-0000-0000-00007C0B0000}"/>
    <cellStyle name="Total 44" xfId="1905" xr:uid="{00000000-0005-0000-0000-00007D0B0000}"/>
    <cellStyle name="Total 44 2" xfId="2948" xr:uid="{00000000-0005-0000-0000-00007E0B0000}"/>
    <cellStyle name="Total 45" xfId="1906" xr:uid="{00000000-0005-0000-0000-00007F0B0000}"/>
    <cellStyle name="Total 45 2" xfId="2949" xr:uid="{00000000-0005-0000-0000-0000800B0000}"/>
    <cellStyle name="Total 5" xfId="1907" xr:uid="{00000000-0005-0000-0000-0000810B0000}"/>
    <cellStyle name="Total 6" xfId="1908" xr:uid="{00000000-0005-0000-0000-0000820B0000}"/>
    <cellStyle name="Total 7" xfId="1909" xr:uid="{00000000-0005-0000-0000-0000830B0000}"/>
    <cellStyle name="Total 8" xfId="1910" xr:uid="{00000000-0005-0000-0000-0000840B0000}"/>
    <cellStyle name="Total 9" xfId="1911" xr:uid="{00000000-0005-0000-0000-0000850B0000}"/>
  </cellStyles>
  <dxfs count="0"/>
  <tableStyles count="0" defaultTableStyle="TableStyleMedium9" defaultPivotStyle="PivotStyleLight16"/>
  <colors>
    <mruColors>
      <color rgb="FFFFFF99"/>
      <color rgb="FFCC9900"/>
      <color rgb="FF6600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104</xdr:row>
      <xdr:rowOff>0</xdr:rowOff>
    </xdr:from>
    <xdr:to>
      <xdr:col>15</xdr:col>
      <xdr:colOff>107951</xdr:colOff>
      <xdr:row>105</xdr:row>
      <xdr:rowOff>66675</xdr:rowOff>
    </xdr:to>
    <xdr:pic>
      <xdr:nvPicPr>
        <xdr:cNvPr id="1058" name="Picture 34" hidden="1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272824575"/>
          <a:ext cx="876301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.254\Master%20Capital\Users\julioedgargonzalez\Library\Containers\com.apple.mail\Data\Library\Mail%20Downloads\C805A5C1-C94D-4531-8B78-3C0503AED602\DECLARACION%20ANUAL%20PROFA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.254\Master%20Capital\Users\julioedgargonzalez\Library\Containers\com.apple.mail\Data\Library\Mail%20Downloads\C805A5C1-C94D-4531-8B78-3C0503AED602\ANUAL%20CONSTRUCTORA%20VIGUERA%2020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"/>
      <sheetName val="CREDITOS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35"/>
  <sheetViews>
    <sheetView showGridLines="0" zoomScale="98" zoomScaleNormal="98" zoomScalePageLayoutView="98" workbookViewId="0">
      <selection activeCell="A9" sqref="A9:XFD9"/>
    </sheetView>
  </sheetViews>
  <sheetFormatPr baseColWidth="10" defaultColWidth="10.81640625" defaultRowHeight="11.5" x14ac:dyDescent="0.25"/>
  <cols>
    <col min="1" max="1" width="23.1796875" style="52" customWidth="1"/>
    <col min="2" max="2" width="17.7265625" style="52" bestFit="1" customWidth="1"/>
    <col min="3" max="3" width="12.7265625" style="52" customWidth="1"/>
    <col min="4" max="4" width="18.26953125" style="52" customWidth="1"/>
    <col min="5" max="5" width="14.1796875" style="52" bestFit="1" customWidth="1"/>
    <col min="6" max="6" width="12.1796875" style="53" bestFit="1" customWidth="1"/>
    <col min="7" max="7" width="25.1796875" style="52" bestFit="1" customWidth="1"/>
    <col min="8" max="8" width="8.81640625" style="52" bestFit="1" customWidth="1"/>
    <col min="9" max="9" width="13" style="52" bestFit="1" customWidth="1"/>
    <col min="10" max="12" width="15.26953125" style="52" bestFit="1" customWidth="1"/>
    <col min="13" max="14" width="12" style="52" bestFit="1" customWidth="1"/>
    <col min="15" max="237" width="10.81640625" style="52"/>
    <col min="238" max="238" width="16" style="52" customWidth="1"/>
    <col min="239" max="239" width="13.453125" style="52" customWidth="1"/>
    <col min="240" max="240" width="12.7265625" style="52" customWidth="1"/>
    <col min="241" max="241" width="18.26953125" style="52" customWidth="1"/>
    <col min="242" max="242" width="10.81640625" style="52"/>
    <col min="243" max="243" width="4.1796875" style="52" bestFit="1" customWidth="1"/>
    <col min="244" max="244" width="25.1796875" style="52" bestFit="1" customWidth="1"/>
    <col min="245" max="245" width="10.81640625" style="52"/>
    <col min="246" max="246" width="5.81640625" style="52" customWidth="1"/>
    <col min="247" max="16384" width="10.81640625" style="52"/>
  </cols>
  <sheetData>
    <row r="1" spans="1:16" x14ac:dyDescent="0.25">
      <c r="A1" s="51"/>
    </row>
    <row r="2" spans="1:16" x14ac:dyDescent="0.25">
      <c r="A2" s="52" t="s">
        <v>84</v>
      </c>
    </row>
    <row r="3" spans="1:16" x14ac:dyDescent="0.25">
      <c r="A3" s="52" t="s">
        <v>85</v>
      </c>
      <c r="F3" s="54"/>
      <c r="G3" s="55"/>
      <c r="H3" s="56"/>
    </row>
    <row r="4" spans="1:16" x14ac:dyDescent="0.25">
      <c r="G4" s="52" t="s">
        <v>38</v>
      </c>
      <c r="H4" s="57">
        <v>10000</v>
      </c>
      <c r="I4" s="58"/>
    </row>
    <row r="5" spans="1:16" ht="12" thickBot="1" x14ac:dyDescent="0.3">
      <c r="A5" s="59" t="s">
        <v>83</v>
      </c>
      <c r="F5" s="53" t="s">
        <v>39</v>
      </c>
      <c r="G5" s="52" t="s">
        <v>34</v>
      </c>
      <c r="H5" s="60">
        <f>+VLOOKUP(H4,$A$7:$D$17,1)</f>
        <v>7168.52</v>
      </c>
    </row>
    <row r="6" spans="1:16" ht="25.5" customHeight="1" thickBot="1" x14ac:dyDescent="0.3">
      <c r="A6" s="140" t="s">
        <v>34</v>
      </c>
      <c r="B6" s="141" t="s">
        <v>35</v>
      </c>
      <c r="C6" s="141" t="s">
        <v>36</v>
      </c>
      <c r="D6" s="142" t="s">
        <v>37</v>
      </c>
      <c r="G6" s="52" t="s">
        <v>40</v>
      </c>
      <c r="H6" s="61">
        <f>+H4-H5</f>
        <v>2831.4799999999996</v>
      </c>
    </row>
    <row r="7" spans="1:16" x14ac:dyDescent="0.25">
      <c r="A7" s="136">
        <v>0.01</v>
      </c>
      <c r="B7" s="137">
        <v>844.59</v>
      </c>
      <c r="C7" s="138">
        <v>0</v>
      </c>
      <c r="D7" s="139">
        <v>1.9199999999999998E-2</v>
      </c>
      <c r="E7" s="64"/>
      <c r="F7" s="53" t="s">
        <v>41</v>
      </c>
      <c r="G7" s="52" t="s">
        <v>42</v>
      </c>
      <c r="H7" s="65">
        <f>+VLOOKUP(H4,$A$7:$D$17,4)</f>
        <v>0.10879999999999999</v>
      </c>
      <c r="J7" s="66"/>
      <c r="K7" s="66"/>
      <c r="L7" s="66"/>
      <c r="M7" s="66"/>
      <c r="N7" s="50"/>
      <c r="O7" s="50"/>
      <c r="P7" s="50"/>
    </row>
    <row r="8" spans="1:16" x14ac:dyDescent="0.25">
      <c r="A8" s="62">
        <v>844.6</v>
      </c>
      <c r="B8" s="62">
        <v>7168.51</v>
      </c>
      <c r="C8" s="62">
        <v>16.22</v>
      </c>
      <c r="D8" s="63">
        <v>6.4000000000000001E-2</v>
      </c>
      <c r="E8" s="64"/>
      <c r="G8" s="52" t="s">
        <v>43</v>
      </c>
      <c r="H8" s="61">
        <f>H6*H7</f>
        <v>308.06502399999994</v>
      </c>
      <c r="J8" s="66"/>
      <c r="K8" s="67"/>
      <c r="L8" s="66"/>
      <c r="M8" s="66"/>
      <c r="N8" s="50"/>
      <c r="O8" s="50"/>
      <c r="P8" s="50"/>
    </row>
    <row r="9" spans="1:16" x14ac:dyDescent="0.25">
      <c r="A9" s="62">
        <v>7168.52</v>
      </c>
      <c r="B9" s="62">
        <v>12598.02</v>
      </c>
      <c r="C9" s="62">
        <v>420.95</v>
      </c>
      <c r="D9" s="63">
        <v>0.10879999999999999</v>
      </c>
      <c r="E9" s="64"/>
      <c r="F9" s="53" t="s">
        <v>44</v>
      </c>
      <c r="G9" s="52" t="s">
        <v>15</v>
      </c>
      <c r="H9" s="60">
        <f>+VLOOKUP(H4,$A$7:$D$17,3)</f>
        <v>420.95</v>
      </c>
      <c r="J9" s="67"/>
      <c r="K9" s="67"/>
      <c r="L9" s="66"/>
      <c r="M9" s="66"/>
      <c r="N9" s="50"/>
      <c r="O9" s="50"/>
      <c r="P9" s="50"/>
    </row>
    <row r="10" spans="1:16" x14ac:dyDescent="0.25">
      <c r="A10" s="62">
        <v>12598.03</v>
      </c>
      <c r="B10" s="62">
        <v>14644.64</v>
      </c>
      <c r="C10" s="62">
        <v>1011.68</v>
      </c>
      <c r="D10" s="63">
        <v>0.16</v>
      </c>
      <c r="E10" s="64"/>
      <c r="G10" s="52" t="s">
        <v>45</v>
      </c>
      <c r="H10" s="68">
        <f>+H8+H9</f>
        <v>729.01502399999993</v>
      </c>
      <c r="J10" s="67"/>
      <c r="K10" s="67"/>
      <c r="L10" s="66"/>
      <c r="M10" s="66"/>
      <c r="N10" s="50"/>
      <c r="O10" s="50"/>
      <c r="P10" s="50"/>
    </row>
    <row r="11" spans="1:16" x14ac:dyDescent="0.25">
      <c r="A11" s="62">
        <v>14644.65</v>
      </c>
      <c r="B11" s="62">
        <v>17533.64</v>
      </c>
      <c r="C11" s="62">
        <v>1339.14</v>
      </c>
      <c r="D11" s="63">
        <v>0.1792</v>
      </c>
      <c r="E11" s="64"/>
      <c r="F11" s="53" t="s">
        <v>39</v>
      </c>
      <c r="G11" s="52" t="s">
        <v>46</v>
      </c>
      <c r="H11" s="60">
        <v>0</v>
      </c>
      <c r="J11" s="67"/>
      <c r="K11" s="67"/>
      <c r="L11" s="67"/>
      <c r="M11" s="66"/>
      <c r="N11" s="50"/>
      <c r="O11" s="50"/>
      <c r="P11" s="50"/>
    </row>
    <row r="12" spans="1:16" x14ac:dyDescent="0.25">
      <c r="A12" s="62">
        <v>17533.650000000001</v>
      </c>
      <c r="B12" s="62">
        <v>35362.83</v>
      </c>
      <c r="C12" s="62">
        <v>1856.84</v>
      </c>
      <c r="D12" s="63">
        <v>0.21360000000000001</v>
      </c>
      <c r="E12" s="64"/>
      <c r="G12" s="52" t="s">
        <v>47</v>
      </c>
      <c r="H12" s="68">
        <f>+H10-H11</f>
        <v>729.01502399999993</v>
      </c>
      <c r="J12" s="67"/>
      <c r="K12" s="67"/>
      <c r="L12" s="67"/>
      <c r="M12" s="66"/>
      <c r="N12" s="50"/>
      <c r="O12" s="50"/>
      <c r="P12" s="50"/>
    </row>
    <row r="13" spans="1:16" x14ac:dyDescent="0.25">
      <c r="A13" s="62">
        <v>35362.839999999997</v>
      </c>
      <c r="B13" s="62">
        <v>55736.68</v>
      </c>
      <c r="C13" s="62">
        <v>5665.16</v>
      </c>
      <c r="D13" s="63">
        <v>0.23519999999999999</v>
      </c>
      <c r="E13" s="64"/>
      <c r="J13" s="67"/>
      <c r="K13" s="67"/>
      <c r="L13" s="67"/>
      <c r="M13" s="66"/>
      <c r="N13" s="50"/>
      <c r="O13" s="50"/>
      <c r="P13" s="50"/>
    </row>
    <row r="14" spans="1:16" x14ac:dyDescent="0.25">
      <c r="A14" s="62">
        <v>55736.69</v>
      </c>
      <c r="B14" s="62">
        <v>106410.5</v>
      </c>
      <c r="C14" s="62">
        <v>10457.09</v>
      </c>
      <c r="D14" s="63">
        <v>0.3</v>
      </c>
      <c r="E14" s="64"/>
      <c r="J14" s="67"/>
      <c r="K14" s="67"/>
      <c r="L14" s="67"/>
      <c r="M14" s="66"/>
      <c r="N14" s="50"/>
      <c r="O14" s="50"/>
      <c r="P14" s="50"/>
    </row>
    <row r="15" spans="1:16" x14ac:dyDescent="0.25">
      <c r="A15" s="62">
        <v>106410.51</v>
      </c>
      <c r="B15" s="62">
        <v>141880.66</v>
      </c>
      <c r="C15" s="62">
        <v>25659.23</v>
      </c>
      <c r="D15" s="63">
        <v>0.32</v>
      </c>
      <c r="E15" s="64"/>
      <c r="J15" s="67"/>
      <c r="K15" s="67"/>
      <c r="L15" s="67"/>
      <c r="M15" s="66"/>
      <c r="N15" s="50"/>
      <c r="O15" s="50"/>
      <c r="P15" s="50"/>
    </row>
    <row r="16" spans="1:16" x14ac:dyDescent="0.25">
      <c r="A16" s="62">
        <v>141880.67000000001</v>
      </c>
      <c r="B16" s="62">
        <v>425641.99</v>
      </c>
      <c r="C16" s="62">
        <v>37009.69</v>
      </c>
      <c r="D16" s="63">
        <v>0.34</v>
      </c>
      <c r="E16" s="64"/>
      <c r="J16" s="67"/>
      <c r="K16" s="67"/>
      <c r="L16" s="67"/>
      <c r="M16" s="66"/>
      <c r="N16" s="50"/>
      <c r="O16" s="50"/>
      <c r="P16" s="50"/>
    </row>
    <row r="17" spans="1:16" x14ac:dyDescent="0.25">
      <c r="A17" s="62">
        <v>425642</v>
      </c>
      <c r="B17" s="62" t="s">
        <v>86</v>
      </c>
      <c r="C17" s="62">
        <v>133488.54</v>
      </c>
      <c r="D17" s="63">
        <v>0.35</v>
      </c>
      <c r="E17" s="64"/>
      <c r="J17" s="67"/>
      <c r="K17" s="66"/>
      <c r="L17" s="67"/>
      <c r="M17" s="66"/>
      <c r="N17" s="50"/>
      <c r="O17" s="50"/>
      <c r="P17" s="50"/>
    </row>
    <row r="18" spans="1:16" x14ac:dyDescent="0.25">
      <c r="A18" s="58"/>
      <c r="B18" s="69"/>
      <c r="C18" s="69"/>
      <c r="D18" s="70"/>
    </row>
    <row r="19" spans="1:16" x14ac:dyDescent="0.25">
      <c r="A19" s="58"/>
      <c r="B19" s="69"/>
      <c r="C19" s="69"/>
      <c r="D19" s="70"/>
    </row>
    <row r="20" spans="1:16" x14ac:dyDescent="0.25">
      <c r="A20" s="58"/>
      <c r="B20" s="69"/>
      <c r="C20" s="69"/>
      <c r="D20" s="70"/>
    </row>
    <row r="21" spans="1:16" x14ac:dyDescent="0.25">
      <c r="A21" s="58"/>
      <c r="B21" s="69"/>
      <c r="C21" s="69"/>
      <c r="D21" s="70"/>
    </row>
    <row r="24" spans="1:16" x14ac:dyDescent="0.25">
      <c r="A24" s="58"/>
      <c r="B24" s="58"/>
      <c r="C24" s="58"/>
    </row>
    <row r="28" spans="1:16" x14ac:dyDescent="0.25">
      <c r="A28" s="71" t="s">
        <v>65</v>
      </c>
      <c r="B28" s="71">
        <v>0</v>
      </c>
      <c r="C28" s="71">
        <v>248.93</v>
      </c>
      <c r="D28" s="72">
        <v>3.15E-2</v>
      </c>
    </row>
    <row r="29" spans="1:16" x14ac:dyDescent="0.25">
      <c r="A29" s="71" t="s">
        <v>66</v>
      </c>
      <c r="B29" s="71">
        <v>113.14</v>
      </c>
      <c r="C29" s="71">
        <f>+B29*1.5</f>
        <v>169.71</v>
      </c>
      <c r="D29" s="72">
        <v>3.5439999999999999E-2</v>
      </c>
    </row>
    <row r="30" spans="1:16" x14ac:dyDescent="0.25">
      <c r="A30" s="71" t="s">
        <v>67</v>
      </c>
      <c r="B30" s="71">
        <f>+C29+0.01</f>
        <v>169.72</v>
      </c>
      <c r="C30" s="71">
        <f>+B29*2</f>
        <v>226.28</v>
      </c>
      <c r="D30" s="72">
        <v>4.4260000000000001E-2</v>
      </c>
    </row>
    <row r="31" spans="1:16" x14ac:dyDescent="0.25">
      <c r="A31" s="71" t="s">
        <v>68</v>
      </c>
      <c r="B31" s="71">
        <f>+C30+0.01</f>
        <v>226.29</v>
      </c>
      <c r="C31" s="71">
        <f>+B29*2.5</f>
        <v>282.85000000000002</v>
      </c>
      <c r="D31" s="72">
        <v>4.9540000000000001E-2</v>
      </c>
    </row>
    <row r="32" spans="1:16" x14ac:dyDescent="0.25">
      <c r="A32" s="71" t="s">
        <v>69</v>
      </c>
      <c r="B32" s="71">
        <f t="shared" ref="B32:B35" si="0">+C31+0.01</f>
        <v>282.86</v>
      </c>
      <c r="C32" s="71">
        <f>+B29*3</f>
        <v>339.42</v>
      </c>
      <c r="D32" s="72">
        <v>5.3069999999999999E-2</v>
      </c>
    </row>
    <row r="33" spans="1:4" x14ac:dyDescent="0.25">
      <c r="A33" s="71" t="s">
        <v>70</v>
      </c>
      <c r="B33" s="71">
        <f t="shared" si="0"/>
        <v>339.43</v>
      </c>
      <c r="C33" s="71">
        <f>+B29*3.5</f>
        <v>395.99</v>
      </c>
      <c r="D33" s="72">
        <v>5.5590000000000001E-2</v>
      </c>
    </row>
    <row r="34" spans="1:4" x14ac:dyDescent="0.25">
      <c r="A34" s="71" t="s">
        <v>71</v>
      </c>
      <c r="B34" s="71">
        <f t="shared" si="0"/>
        <v>396</v>
      </c>
      <c r="C34" s="71">
        <f>+B29*4</f>
        <v>452.56</v>
      </c>
      <c r="D34" s="72">
        <v>5.747E-2</v>
      </c>
    </row>
    <row r="35" spans="1:4" x14ac:dyDescent="0.25">
      <c r="A35" s="71" t="s">
        <v>72</v>
      </c>
      <c r="B35" s="71">
        <f t="shared" si="0"/>
        <v>452.57</v>
      </c>
      <c r="C35" s="71">
        <v>10000</v>
      </c>
      <c r="D35" s="72">
        <v>6.4219999999999999E-2</v>
      </c>
    </row>
  </sheetData>
  <phoneticPr fontId="28" type="noConversion"/>
  <pageMargins left="0.75" right="0.75" top="0.5" bottom="0.83" header="0" footer="0"/>
  <pageSetup orientation="portrait" horizontalDpi="360" verticalDpi="36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</sheetPr>
  <dimension ref="A1:R125"/>
  <sheetViews>
    <sheetView tabSelected="1" zoomScaleNormal="100" zoomScaleSheetLayoutView="110" zoomScalePageLayoutView="150" workbookViewId="0">
      <pane ySplit="6" topLeftCell="A107" activePane="bottomLeft" state="frozen"/>
      <selection pane="bottomLeft" activeCell="D114" sqref="D114"/>
    </sheetView>
  </sheetViews>
  <sheetFormatPr baseColWidth="10" defaultColWidth="11.453125" defaultRowHeight="12.75" customHeight="1" x14ac:dyDescent="0.25"/>
  <cols>
    <col min="1" max="1" width="5" style="1" customWidth="1"/>
    <col min="2" max="2" width="23" style="1" customWidth="1"/>
    <col min="3" max="3" width="13.08984375" style="1" customWidth="1"/>
    <col min="4" max="4" width="12.1796875" style="1" customWidth="1"/>
    <col min="5" max="5" width="14.36328125" style="1" customWidth="1"/>
    <col min="6" max="6" width="11.453125" style="1" customWidth="1"/>
    <col min="7" max="7" width="13.453125" style="1" bestFit="1" customWidth="1"/>
    <col min="8" max="8" width="11.7265625" style="1" hidden="1" customWidth="1"/>
    <col min="9" max="9" width="14" style="1" hidden="1" customWidth="1"/>
    <col min="10" max="10" width="11.7265625" style="1" hidden="1" customWidth="1"/>
    <col min="11" max="11" width="16.26953125" style="1" customWidth="1"/>
    <col min="12" max="12" width="16" style="11" customWidth="1"/>
    <col min="13" max="13" width="13.453125" style="1" bestFit="1" customWidth="1"/>
    <col min="14" max="14" width="12.7265625" style="1" customWidth="1"/>
    <col min="15" max="16" width="11.453125" style="1" customWidth="1"/>
    <col min="17" max="17" width="12.08984375" style="3" customWidth="1"/>
    <col min="18" max="18" width="11.453125" style="1" customWidth="1"/>
    <col min="19" max="16384" width="11.453125" style="1"/>
  </cols>
  <sheetData>
    <row r="1" spans="1:18" ht="12.75" customHeight="1" thickBot="1" x14ac:dyDescent="0.3"/>
    <row r="2" spans="1:18" ht="27" customHeight="1" thickBot="1" x14ac:dyDescent="0.45">
      <c r="A2" s="232" t="s">
        <v>62</v>
      </c>
      <c r="B2" s="233"/>
      <c r="C2" s="233"/>
      <c r="D2" s="233"/>
      <c r="E2" s="233"/>
      <c r="F2" s="233"/>
      <c r="G2" s="234"/>
      <c r="H2" s="230"/>
      <c r="I2" s="230"/>
      <c r="J2" s="230"/>
      <c r="K2" s="231"/>
      <c r="L2" s="13"/>
      <c r="M2" s="13"/>
      <c r="N2" s="13"/>
    </row>
    <row r="3" spans="1:18" ht="23.25" customHeight="1" thickBot="1" x14ac:dyDescent="0.4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81">
        <f ca="1">TODAY()</f>
        <v>46085</v>
      </c>
      <c r="N3" s="182"/>
    </row>
    <row r="4" spans="1:18" ht="12.75" customHeight="1" thickBot="1" x14ac:dyDescent="0.3"/>
    <row r="5" spans="1:18" ht="25" customHeight="1" x14ac:dyDescent="0.25">
      <c r="A5" s="175" t="s">
        <v>6</v>
      </c>
      <c r="B5" s="177" t="s">
        <v>7</v>
      </c>
      <c r="C5" s="177" t="s">
        <v>8</v>
      </c>
      <c r="D5" s="179" t="s">
        <v>53</v>
      </c>
      <c r="E5" s="179" t="s">
        <v>9</v>
      </c>
      <c r="F5" s="179" t="s">
        <v>13</v>
      </c>
      <c r="G5" s="179" t="s">
        <v>49</v>
      </c>
      <c r="H5" s="179" t="s">
        <v>63</v>
      </c>
      <c r="I5" s="179" t="s">
        <v>51</v>
      </c>
      <c r="J5" s="179" t="s">
        <v>48</v>
      </c>
      <c r="K5" s="179" t="s">
        <v>52</v>
      </c>
      <c r="L5" s="185" t="s">
        <v>73</v>
      </c>
      <c r="M5" s="179" t="s">
        <v>80</v>
      </c>
      <c r="N5" s="183" t="s">
        <v>32</v>
      </c>
    </row>
    <row r="6" spans="1:18" ht="12.75" customHeight="1" thickBot="1" x14ac:dyDescent="0.3">
      <c r="A6" s="176"/>
      <c r="B6" s="178"/>
      <c r="C6" s="178"/>
      <c r="D6" s="180"/>
      <c r="E6" s="180"/>
      <c r="F6" s="180"/>
      <c r="G6" s="180"/>
      <c r="H6" s="180"/>
      <c r="I6" s="180"/>
      <c r="J6" s="180"/>
      <c r="K6" s="180"/>
      <c r="L6" s="186"/>
      <c r="M6" s="180"/>
      <c r="N6" s="184"/>
    </row>
    <row r="7" spans="1:18" ht="12.75" customHeight="1" x14ac:dyDescent="0.25">
      <c r="A7" s="78">
        <v>1</v>
      </c>
      <c r="B7" s="163" t="s">
        <v>87</v>
      </c>
      <c r="C7" s="164" t="s">
        <v>103</v>
      </c>
      <c r="D7" s="165"/>
      <c r="E7" s="135">
        <v>30</v>
      </c>
      <c r="F7" s="162"/>
      <c r="G7" s="79">
        <f>E7*F7</f>
        <v>0</v>
      </c>
      <c r="H7" s="80" t="e">
        <f>(G7-VLOOKUP(G7,TABLAS!$A$7:$D$17,1))*VLOOKUP(G7,TABLAS!$A$7:$D$17,4)+VLOOKUP(G7,TABLAS!$A$7:$D$17,3)</f>
        <v>#N/A</v>
      </c>
      <c r="I7" s="79">
        <f>IF(G7&lt;=11492.66,(113.14*30.4)*15.02%,0)</f>
        <v>516.60629119999999</v>
      </c>
      <c r="J7" s="79">
        <v>0</v>
      </c>
      <c r="K7" s="79" t="e">
        <f>+IF(H7&gt;I7,H7-I7,0)</f>
        <v>#N/A</v>
      </c>
      <c r="L7" s="81" t="e">
        <f>+G7-K7</f>
        <v>#N/A</v>
      </c>
      <c r="M7" s="80" t="e">
        <f>+IF(K7&gt;0,(D7-G7+K7),D7-L7)</f>
        <v>#N/A</v>
      </c>
      <c r="N7" s="79" t="e">
        <f>IMSS!AK8</f>
        <v>#N/A</v>
      </c>
      <c r="O7" s="22">
        <f>D7*40%</f>
        <v>0</v>
      </c>
      <c r="P7" s="35">
        <f>O7/30</f>
        <v>0</v>
      </c>
      <c r="Q7" s="73">
        <f>IF(P7&lt;472.56,472.56,P7)</f>
        <v>472.56</v>
      </c>
      <c r="R7" s="23"/>
    </row>
    <row r="8" spans="1:18" ht="12.75" customHeight="1" x14ac:dyDescent="0.25">
      <c r="A8" s="24">
        <f>A7+1</f>
        <v>2</v>
      </c>
      <c r="B8" s="163" t="s">
        <v>88</v>
      </c>
      <c r="C8" s="164" t="s">
        <v>104</v>
      </c>
      <c r="D8" s="165"/>
      <c r="E8" s="135">
        <v>30</v>
      </c>
      <c r="F8" s="162"/>
      <c r="G8" s="79">
        <f>E8*F8</f>
        <v>0</v>
      </c>
      <c r="H8" s="80" t="e">
        <f>(G8-VLOOKUP(G8,TABLAS!$A$7:$D$17,1))*VLOOKUP(G8,TABLAS!$A$7:$D$17,4)+VLOOKUP(G8,TABLAS!$A$7:$D$17,3)</f>
        <v>#N/A</v>
      </c>
      <c r="I8" s="79">
        <f>IF(G8&lt;=11492.66,(113.14*30.4)*15.02%,0)</f>
        <v>516.60629119999999</v>
      </c>
      <c r="J8" s="79">
        <v>0</v>
      </c>
      <c r="K8" s="79" t="e">
        <f>+IF(H8&gt;I8,H8-I8,0)</f>
        <v>#N/A</v>
      </c>
      <c r="L8" s="81" t="e">
        <f>+G8-K8</f>
        <v>#N/A</v>
      </c>
      <c r="M8" s="80" t="e">
        <f>+IF(K8&gt;0,(D8-G8+K8),D8-L8)</f>
        <v>#N/A</v>
      </c>
      <c r="N8" s="79" t="e">
        <f>IMSS!AK9</f>
        <v>#N/A</v>
      </c>
      <c r="O8" s="22">
        <f t="shared" ref="O8:O71" si="0">D8*40%</f>
        <v>0</v>
      </c>
      <c r="P8" s="35">
        <f t="shared" ref="P8:P71" si="1">O8/30</f>
        <v>0</v>
      </c>
      <c r="Q8" s="73">
        <f t="shared" ref="Q8:Q71" si="2">IF(P8&lt;472.56,472.56,P8)</f>
        <v>472.56</v>
      </c>
      <c r="R8" s="23"/>
    </row>
    <row r="9" spans="1:18" ht="12.75" customHeight="1" x14ac:dyDescent="0.25">
      <c r="A9" s="24">
        <f t="shared" ref="A9:A72" si="3">A8+1</f>
        <v>3</v>
      </c>
      <c r="B9" s="163" t="s">
        <v>89</v>
      </c>
      <c r="C9" s="164" t="s">
        <v>105</v>
      </c>
      <c r="D9" s="165"/>
      <c r="E9" s="135">
        <v>30</v>
      </c>
      <c r="F9" s="162"/>
      <c r="G9" s="79">
        <f t="shared" ref="G9:G22" si="4">E9*F9</f>
        <v>0</v>
      </c>
      <c r="H9" s="80" t="e">
        <f>(G9-VLOOKUP(G9,TABLAS!$A$7:$D$17,1))*VLOOKUP(G9,TABLAS!$A$7:$D$17,4)+VLOOKUP(G9,TABLAS!$A$7:$D$17,3)</f>
        <v>#N/A</v>
      </c>
      <c r="I9" s="79">
        <f t="shared" ref="I9:I22" si="5">IF(G9&lt;=11492.66,(113.14*30.4)*15.02%,0)</f>
        <v>516.60629119999999</v>
      </c>
      <c r="J9" s="79">
        <v>0</v>
      </c>
      <c r="K9" s="79" t="e">
        <f t="shared" ref="K9:K22" si="6">+IF(H9&gt;I9,H9-I9,0)</f>
        <v>#N/A</v>
      </c>
      <c r="L9" s="81" t="e">
        <f t="shared" ref="L9:L22" si="7">+G9-K9</f>
        <v>#N/A</v>
      </c>
      <c r="M9" s="80" t="e">
        <f t="shared" ref="M9:M22" si="8">+IF(K9&gt;0,(D9-G9+K9),D9-L9)</f>
        <v>#N/A</v>
      </c>
      <c r="N9" s="79" t="e">
        <f>IMSS!AK10</f>
        <v>#N/A</v>
      </c>
      <c r="O9" s="22">
        <f t="shared" si="0"/>
        <v>0</v>
      </c>
      <c r="P9" s="35">
        <f t="shared" si="1"/>
        <v>0</v>
      </c>
      <c r="Q9" s="73">
        <f t="shared" si="2"/>
        <v>472.56</v>
      </c>
      <c r="R9" s="23"/>
    </row>
    <row r="10" spans="1:18" ht="12.75" customHeight="1" x14ac:dyDescent="0.25">
      <c r="A10" s="24">
        <f t="shared" si="3"/>
        <v>4</v>
      </c>
      <c r="B10" s="163" t="s">
        <v>90</v>
      </c>
      <c r="C10" s="164" t="s">
        <v>106</v>
      </c>
      <c r="D10" s="165"/>
      <c r="E10" s="135">
        <v>30</v>
      </c>
      <c r="F10" s="162"/>
      <c r="G10" s="79">
        <f t="shared" si="4"/>
        <v>0</v>
      </c>
      <c r="H10" s="80" t="e">
        <f>(G10-VLOOKUP(G10,TABLAS!$A$7:$D$17,1))*VLOOKUP(G10,TABLAS!$A$7:$D$17,4)+VLOOKUP(G10,TABLAS!$A$7:$D$17,3)</f>
        <v>#N/A</v>
      </c>
      <c r="I10" s="79">
        <f t="shared" si="5"/>
        <v>516.60629119999999</v>
      </c>
      <c r="J10" s="79">
        <v>0</v>
      </c>
      <c r="K10" s="79" t="e">
        <f t="shared" si="6"/>
        <v>#N/A</v>
      </c>
      <c r="L10" s="81" t="e">
        <f t="shared" si="7"/>
        <v>#N/A</v>
      </c>
      <c r="M10" s="80" t="e">
        <f t="shared" si="8"/>
        <v>#N/A</v>
      </c>
      <c r="N10" s="79" t="e">
        <f>IMSS!AK11</f>
        <v>#N/A</v>
      </c>
      <c r="O10" s="22">
        <f t="shared" si="0"/>
        <v>0</v>
      </c>
      <c r="P10" s="35">
        <f t="shared" si="1"/>
        <v>0</v>
      </c>
      <c r="Q10" s="73">
        <f t="shared" si="2"/>
        <v>472.56</v>
      </c>
      <c r="R10" s="23"/>
    </row>
    <row r="11" spans="1:18" ht="12.75" customHeight="1" x14ac:dyDescent="0.25">
      <c r="A11" s="24">
        <f t="shared" si="3"/>
        <v>5</v>
      </c>
      <c r="B11" s="163" t="s">
        <v>91</v>
      </c>
      <c r="C11" s="164" t="s">
        <v>107</v>
      </c>
      <c r="D11" s="165"/>
      <c r="E11" s="135">
        <v>30</v>
      </c>
      <c r="F11" s="162"/>
      <c r="G11" s="79">
        <f t="shared" si="4"/>
        <v>0</v>
      </c>
      <c r="H11" s="80" t="e">
        <f>(G11-VLOOKUP(G11,TABLAS!$A$7:$D$17,1))*VLOOKUP(G11,TABLAS!$A$7:$D$17,4)+VLOOKUP(G11,TABLAS!$A$7:$D$17,3)</f>
        <v>#N/A</v>
      </c>
      <c r="I11" s="79">
        <f t="shared" si="5"/>
        <v>516.60629119999999</v>
      </c>
      <c r="J11" s="79">
        <v>0</v>
      </c>
      <c r="K11" s="79" t="e">
        <f t="shared" si="6"/>
        <v>#N/A</v>
      </c>
      <c r="L11" s="81" t="e">
        <f t="shared" si="7"/>
        <v>#N/A</v>
      </c>
      <c r="M11" s="80" t="e">
        <f t="shared" si="8"/>
        <v>#N/A</v>
      </c>
      <c r="N11" s="79" t="e">
        <f>IMSS!AK12</f>
        <v>#N/A</v>
      </c>
      <c r="O11" s="22">
        <f t="shared" si="0"/>
        <v>0</v>
      </c>
      <c r="P11" s="35">
        <f t="shared" si="1"/>
        <v>0</v>
      </c>
      <c r="Q11" s="73">
        <f t="shared" si="2"/>
        <v>472.56</v>
      </c>
      <c r="R11" s="23"/>
    </row>
    <row r="12" spans="1:18" ht="12.75" customHeight="1" x14ac:dyDescent="0.25">
      <c r="A12" s="24">
        <f t="shared" si="3"/>
        <v>6</v>
      </c>
      <c r="B12" s="163" t="s">
        <v>92</v>
      </c>
      <c r="C12" s="164" t="s">
        <v>108</v>
      </c>
      <c r="D12" s="165"/>
      <c r="E12" s="135">
        <v>30</v>
      </c>
      <c r="F12" s="162"/>
      <c r="G12" s="79">
        <f t="shared" si="4"/>
        <v>0</v>
      </c>
      <c r="H12" s="80" t="e">
        <f>(G12-VLOOKUP(G12,TABLAS!$A$7:$D$17,1))*VLOOKUP(G12,TABLAS!$A$7:$D$17,4)+VLOOKUP(G12,TABLAS!$A$7:$D$17,3)</f>
        <v>#N/A</v>
      </c>
      <c r="I12" s="79">
        <f t="shared" si="5"/>
        <v>516.60629119999999</v>
      </c>
      <c r="J12" s="79">
        <v>0</v>
      </c>
      <c r="K12" s="79" t="e">
        <f t="shared" si="6"/>
        <v>#N/A</v>
      </c>
      <c r="L12" s="81" t="e">
        <f t="shared" si="7"/>
        <v>#N/A</v>
      </c>
      <c r="M12" s="80" t="e">
        <f t="shared" si="8"/>
        <v>#N/A</v>
      </c>
      <c r="N12" s="79" t="e">
        <f>IMSS!AK13</f>
        <v>#N/A</v>
      </c>
      <c r="O12" s="22">
        <f t="shared" si="0"/>
        <v>0</v>
      </c>
      <c r="P12" s="35">
        <f t="shared" si="1"/>
        <v>0</v>
      </c>
      <c r="Q12" s="73">
        <f t="shared" si="2"/>
        <v>472.56</v>
      </c>
      <c r="R12" s="23"/>
    </row>
    <row r="13" spans="1:18" ht="12.75" customHeight="1" x14ac:dyDescent="0.25">
      <c r="A13" s="24">
        <f t="shared" si="3"/>
        <v>7</v>
      </c>
      <c r="B13" s="163" t="s">
        <v>93</v>
      </c>
      <c r="C13" s="164" t="s">
        <v>109</v>
      </c>
      <c r="D13" s="165"/>
      <c r="E13" s="135">
        <v>30</v>
      </c>
      <c r="F13" s="162"/>
      <c r="G13" s="79">
        <f t="shared" si="4"/>
        <v>0</v>
      </c>
      <c r="H13" s="80" t="e">
        <f>(G13-VLOOKUP(G13,TABLAS!$A$7:$D$17,1))*VLOOKUP(G13,TABLAS!$A$7:$D$17,4)+VLOOKUP(G13,TABLAS!$A$7:$D$17,3)</f>
        <v>#N/A</v>
      </c>
      <c r="I13" s="79">
        <f t="shared" si="5"/>
        <v>516.60629119999999</v>
      </c>
      <c r="J13" s="79">
        <v>0</v>
      </c>
      <c r="K13" s="79" t="e">
        <f t="shared" si="6"/>
        <v>#N/A</v>
      </c>
      <c r="L13" s="81" t="e">
        <f t="shared" si="7"/>
        <v>#N/A</v>
      </c>
      <c r="M13" s="80" t="e">
        <f t="shared" si="8"/>
        <v>#N/A</v>
      </c>
      <c r="N13" s="79" t="e">
        <f>IMSS!AK14</f>
        <v>#N/A</v>
      </c>
      <c r="O13" s="22">
        <f t="shared" si="0"/>
        <v>0</v>
      </c>
      <c r="P13" s="35">
        <f t="shared" si="1"/>
        <v>0</v>
      </c>
      <c r="Q13" s="73">
        <f t="shared" si="2"/>
        <v>472.56</v>
      </c>
      <c r="R13" s="23"/>
    </row>
    <row r="14" spans="1:18" ht="12.75" customHeight="1" x14ac:dyDescent="0.25">
      <c r="A14" s="24">
        <f t="shared" si="3"/>
        <v>8</v>
      </c>
      <c r="B14" s="163" t="s">
        <v>94</v>
      </c>
      <c r="C14" s="164" t="s">
        <v>110</v>
      </c>
      <c r="D14" s="165"/>
      <c r="E14" s="135">
        <v>30</v>
      </c>
      <c r="F14" s="162"/>
      <c r="G14" s="79">
        <f t="shared" si="4"/>
        <v>0</v>
      </c>
      <c r="H14" s="80" t="e">
        <f>(G14-VLOOKUP(G14,TABLAS!$A$7:$D$17,1))*VLOOKUP(G14,TABLAS!$A$7:$D$17,4)+VLOOKUP(G14,TABLAS!$A$7:$D$17,3)</f>
        <v>#N/A</v>
      </c>
      <c r="I14" s="79">
        <f t="shared" si="5"/>
        <v>516.60629119999999</v>
      </c>
      <c r="J14" s="79">
        <v>0</v>
      </c>
      <c r="K14" s="79" t="e">
        <f t="shared" si="6"/>
        <v>#N/A</v>
      </c>
      <c r="L14" s="81" t="e">
        <f t="shared" si="7"/>
        <v>#N/A</v>
      </c>
      <c r="M14" s="80" t="e">
        <f t="shared" si="8"/>
        <v>#N/A</v>
      </c>
      <c r="N14" s="79" t="e">
        <f>IMSS!AK15</f>
        <v>#N/A</v>
      </c>
      <c r="O14" s="22">
        <f t="shared" si="0"/>
        <v>0</v>
      </c>
      <c r="P14" s="35">
        <f t="shared" si="1"/>
        <v>0</v>
      </c>
      <c r="Q14" s="73">
        <f t="shared" si="2"/>
        <v>472.56</v>
      </c>
      <c r="R14" s="23"/>
    </row>
    <row r="15" spans="1:18" ht="12.75" customHeight="1" x14ac:dyDescent="0.25">
      <c r="A15" s="24">
        <f t="shared" si="3"/>
        <v>9</v>
      </c>
      <c r="B15" s="163" t="s">
        <v>95</v>
      </c>
      <c r="C15" s="164" t="s">
        <v>111</v>
      </c>
      <c r="D15" s="165"/>
      <c r="E15" s="135">
        <v>30</v>
      </c>
      <c r="F15" s="162"/>
      <c r="G15" s="79">
        <f t="shared" si="4"/>
        <v>0</v>
      </c>
      <c r="H15" s="80" t="e">
        <f>(G15-VLOOKUP(G15,TABLAS!$A$7:$D$17,1))*VLOOKUP(G15,TABLAS!$A$7:$D$17,4)+VLOOKUP(G15,TABLAS!$A$7:$D$17,3)</f>
        <v>#N/A</v>
      </c>
      <c r="I15" s="79">
        <f t="shared" si="5"/>
        <v>516.60629119999999</v>
      </c>
      <c r="J15" s="79">
        <v>0</v>
      </c>
      <c r="K15" s="79" t="e">
        <f t="shared" si="6"/>
        <v>#N/A</v>
      </c>
      <c r="L15" s="81" t="e">
        <f t="shared" si="7"/>
        <v>#N/A</v>
      </c>
      <c r="M15" s="80" t="e">
        <f t="shared" si="8"/>
        <v>#N/A</v>
      </c>
      <c r="N15" s="79" t="e">
        <f>IMSS!AK16</f>
        <v>#N/A</v>
      </c>
      <c r="O15" s="22">
        <f t="shared" si="0"/>
        <v>0</v>
      </c>
      <c r="P15" s="35">
        <f t="shared" si="1"/>
        <v>0</v>
      </c>
      <c r="Q15" s="73">
        <f t="shared" si="2"/>
        <v>472.56</v>
      </c>
      <c r="R15" s="23"/>
    </row>
    <row r="16" spans="1:18" ht="12.75" customHeight="1" x14ac:dyDescent="0.25">
      <c r="A16" s="24">
        <f t="shared" si="3"/>
        <v>10</v>
      </c>
      <c r="B16" s="163" t="s">
        <v>96</v>
      </c>
      <c r="C16" s="164" t="s">
        <v>112</v>
      </c>
      <c r="D16" s="165"/>
      <c r="E16" s="135">
        <v>30</v>
      </c>
      <c r="F16" s="162"/>
      <c r="G16" s="79">
        <f t="shared" si="4"/>
        <v>0</v>
      </c>
      <c r="H16" s="80" t="e">
        <f>(G16-VLOOKUP(G16,TABLAS!$A$7:$D$17,1))*VLOOKUP(G16,TABLAS!$A$7:$D$17,4)+VLOOKUP(G16,TABLAS!$A$7:$D$17,3)</f>
        <v>#N/A</v>
      </c>
      <c r="I16" s="79">
        <f t="shared" si="5"/>
        <v>516.60629119999999</v>
      </c>
      <c r="J16" s="79">
        <v>0</v>
      </c>
      <c r="K16" s="79" t="e">
        <f t="shared" si="6"/>
        <v>#N/A</v>
      </c>
      <c r="L16" s="81" t="e">
        <f t="shared" si="7"/>
        <v>#N/A</v>
      </c>
      <c r="M16" s="80" t="e">
        <f t="shared" si="8"/>
        <v>#N/A</v>
      </c>
      <c r="N16" s="79" t="e">
        <f>IMSS!AK17</f>
        <v>#N/A</v>
      </c>
      <c r="O16" s="22">
        <f t="shared" si="0"/>
        <v>0</v>
      </c>
      <c r="P16" s="35">
        <f t="shared" si="1"/>
        <v>0</v>
      </c>
      <c r="Q16" s="73">
        <f t="shared" si="2"/>
        <v>472.56</v>
      </c>
      <c r="R16" s="23"/>
    </row>
    <row r="17" spans="1:18" ht="12.75" customHeight="1" x14ac:dyDescent="0.25">
      <c r="A17" s="24">
        <f t="shared" si="3"/>
        <v>11</v>
      </c>
      <c r="B17" s="163" t="s">
        <v>97</v>
      </c>
      <c r="C17" s="164" t="s">
        <v>113</v>
      </c>
      <c r="D17" s="165"/>
      <c r="E17" s="135">
        <v>30</v>
      </c>
      <c r="F17" s="162"/>
      <c r="G17" s="79">
        <f t="shared" si="4"/>
        <v>0</v>
      </c>
      <c r="H17" s="80" t="e">
        <f>(G17-VLOOKUP(G17,TABLAS!$A$7:$D$17,1))*VLOOKUP(G17,TABLAS!$A$7:$D$17,4)+VLOOKUP(G17,TABLAS!$A$7:$D$17,3)</f>
        <v>#N/A</v>
      </c>
      <c r="I17" s="79">
        <f t="shared" si="5"/>
        <v>516.60629119999999</v>
      </c>
      <c r="J17" s="79">
        <v>0</v>
      </c>
      <c r="K17" s="79" t="e">
        <f t="shared" si="6"/>
        <v>#N/A</v>
      </c>
      <c r="L17" s="81" t="e">
        <f t="shared" si="7"/>
        <v>#N/A</v>
      </c>
      <c r="M17" s="80" t="e">
        <f t="shared" si="8"/>
        <v>#N/A</v>
      </c>
      <c r="N17" s="79" t="e">
        <f>IMSS!AK18</f>
        <v>#N/A</v>
      </c>
      <c r="O17" s="22">
        <f t="shared" si="0"/>
        <v>0</v>
      </c>
      <c r="P17" s="35">
        <f t="shared" si="1"/>
        <v>0</v>
      </c>
      <c r="Q17" s="73">
        <f t="shared" si="2"/>
        <v>472.56</v>
      </c>
      <c r="R17" s="23"/>
    </row>
    <row r="18" spans="1:18" ht="12.75" customHeight="1" x14ac:dyDescent="0.25">
      <c r="A18" s="24">
        <f t="shared" si="3"/>
        <v>12</v>
      </c>
      <c r="B18" s="163" t="s">
        <v>98</v>
      </c>
      <c r="C18" s="164" t="s">
        <v>114</v>
      </c>
      <c r="D18" s="165"/>
      <c r="E18" s="135">
        <v>30</v>
      </c>
      <c r="F18" s="162"/>
      <c r="G18" s="79">
        <f t="shared" si="4"/>
        <v>0</v>
      </c>
      <c r="H18" s="80" t="e">
        <f>(G18-VLOOKUP(G18,TABLAS!$A$7:$D$17,1))*VLOOKUP(G18,TABLAS!$A$7:$D$17,4)+VLOOKUP(G18,TABLAS!$A$7:$D$17,3)</f>
        <v>#N/A</v>
      </c>
      <c r="I18" s="79">
        <f t="shared" si="5"/>
        <v>516.60629119999999</v>
      </c>
      <c r="J18" s="79">
        <v>0</v>
      </c>
      <c r="K18" s="79" t="e">
        <f t="shared" si="6"/>
        <v>#N/A</v>
      </c>
      <c r="L18" s="81" t="e">
        <f t="shared" si="7"/>
        <v>#N/A</v>
      </c>
      <c r="M18" s="80" t="e">
        <f t="shared" si="8"/>
        <v>#N/A</v>
      </c>
      <c r="N18" s="79" t="e">
        <f>IMSS!AK19</f>
        <v>#N/A</v>
      </c>
      <c r="O18" s="22">
        <f t="shared" si="0"/>
        <v>0</v>
      </c>
      <c r="P18" s="35">
        <f t="shared" si="1"/>
        <v>0</v>
      </c>
      <c r="Q18" s="73">
        <f t="shared" si="2"/>
        <v>472.56</v>
      </c>
      <c r="R18" s="23"/>
    </row>
    <row r="19" spans="1:18" ht="12.75" customHeight="1" x14ac:dyDescent="0.25">
      <c r="A19" s="24">
        <f t="shared" si="3"/>
        <v>13</v>
      </c>
      <c r="B19" s="163" t="s">
        <v>99</v>
      </c>
      <c r="C19" s="164" t="s">
        <v>115</v>
      </c>
      <c r="D19" s="165"/>
      <c r="E19" s="135">
        <v>30</v>
      </c>
      <c r="F19" s="162"/>
      <c r="G19" s="79">
        <f t="shared" si="4"/>
        <v>0</v>
      </c>
      <c r="H19" s="80" t="e">
        <f>(G19-VLOOKUP(G19,TABLAS!$A$7:$D$17,1))*VLOOKUP(G19,TABLAS!$A$7:$D$17,4)+VLOOKUP(G19,TABLAS!$A$7:$D$17,3)</f>
        <v>#N/A</v>
      </c>
      <c r="I19" s="79">
        <f t="shared" si="5"/>
        <v>516.60629119999999</v>
      </c>
      <c r="J19" s="79">
        <v>0</v>
      </c>
      <c r="K19" s="79" t="e">
        <f t="shared" si="6"/>
        <v>#N/A</v>
      </c>
      <c r="L19" s="81" t="e">
        <f t="shared" si="7"/>
        <v>#N/A</v>
      </c>
      <c r="M19" s="80" t="e">
        <f t="shared" si="8"/>
        <v>#N/A</v>
      </c>
      <c r="N19" s="79" t="e">
        <f>IMSS!AK20</f>
        <v>#N/A</v>
      </c>
      <c r="O19" s="22">
        <f t="shared" si="0"/>
        <v>0</v>
      </c>
      <c r="P19" s="35">
        <f t="shared" si="1"/>
        <v>0</v>
      </c>
      <c r="Q19" s="73">
        <f t="shared" si="2"/>
        <v>472.56</v>
      </c>
      <c r="R19" s="23"/>
    </row>
    <row r="20" spans="1:18" ht="12.75" customHeight="1" x14ac:dyDescent="0.25">
      <c r="A20" s="24">
        <f t="shared" si="3"/>
        <v>14</v>
      </c>
      <c r="B20" s="163" t="s">
        <v>100</v>
      </c>
      <c r="C20" s="164" t="s">
        <v>116</v>
      </c>
      <c r="D20" s="165"/>
      <c r="E20" s="135">
        <v>30</v>
      </c>
      <c r="F20" s="162"/>
      <c r="G20" s="79">
        <f t="shared" si="4"/>
        <v>0</v>
      </c>
      <c r="H20" s="80" t="e">
        <f>(G20-VLOOKUP(G20,TABLAS!$A$7:$D$17,1))*VLOOKUP(G20,TABLAS!$A$7:$D$17,4)+VLOOKUP(G20,TABLAS!$A$7:$D$17,3)</f>
        <v>#N/A</v>
      </c>
      <c r="I20" s="79">
        <f t="shared" si="5"/>
        <v>516.60629119999999</v>
      </c>
      <c r="J20" s="79">
        <v>0</v>
      </c>
      <c r="K20" s="79" t="e">
        <f t="shared" si="6"/>
        <v>#N/A</v>
      </c>
      <c r="L20" s="81" t="e">
        <f t="shared" si="7"/>
        <v>#N/A</v>
      </c>
      <c r="M20" s="80" t="e">
        <f t="shared" si="8"/>
        <v>#N/A</v>
      </c>
      <c r="N20" s="79" t="e">
        <f>IMSS!AK21</f>
        <v>#N/A</v>
      </c>
      <c r="O20" s="22">
        <f t="shared" si="0"/>
        <v>0</v>
      </c>
      <c r="P20" s="35">
        <f t="shared" si="1"/>
        <v>0</v>
      </c>
      <c r="Q20" s="73">
        <f t="shared" si="2"/>
        <v>472.56</v>
      </c>
      <c r="R20" s="23"/>
    </row>
    <row r="21" spans="1:18" ht="12.75" customHeight="1" x14ac:dyDescent="0.25">
      <c r="A21" s="24">
        <f t="shared" si="3"/>
        <v>15</v>
      </c>
      <c r="B21" s="163" t="s">
        <v>101</v>
      </c>
      <c r="C21" s="164" t="s">
        <v>117</v>
      </c>
      <c r="D21" s="165"/>
      <c r="E21" s="135">
        <v>30</v>
      </c>
      <c r="F21" s="162"/>
      <c r="G21" s="79">
        <f t="shared" si="4"/>
        <v>0</v>
      </c>
      <c r="H21" s="80" t="e">
        <f>(G21-VLOOKUP(G21,TABLAS!$A$7:$D$17,1))*VLOOKUP(G21,TABLAS!$A$7:$D$17,4)+VLOOKUP(G21,TABLAS!$A$7:$D$17,3)</f>
        <v>#N/A</v>
      </c>
      <c r="I21" s="79">
        <f t="shared" si="5"/>
        <v>516.60629119999999</v>
      </c>
      <c r="J21" s="79">
        <v>0</v>
      </c>
      <c r="K21" s="79" t="e">
        <f t="shared" si="6"/>
        <v>#N/A</v>
      </c>
      <c r="L21" s="81" t="e">
        <f t="shared" si="7"/>
        <v>#N/A</v>
      </c>
      <c r="M21" s="80" t="e">
        <f t="shared" si="8"/>
        <v>#N/A</v>
      </c>
      <c r="N21" s="79" t="e">
        <f>IMSS!AK22</f>
        <v>#N/A</v>
      </c>
      <c r="O21" s="22">
        <f t="shared" si="0"/>
        <v>0</v>
      </c>
      <c r="P21" s="35">
        <f t="shared" si="1"/>
        <v>0</v>
      </c>
      <c r="Q21" s="73">
        <f t="shared" si="2"/>
        <v>472.56</v>
      </c>
      <c r="R21" s="23"/>
    </row>
    <row r="22" spans="1:18" ht="12.5" customHeight="1" x14ac:dyDescent="0.25">
      <c r="A22" s="24">
        <f t="shared" si="3"/>
        <v>16</v>
      </c>
      <c r="B22" s="163" t="s">
        <v>102</v>
      </c>
      <c r="C22" s="164" t="s">
        <v>118</v>
      </c>
      <c r="D22" s="165"/>
      <c r="E22" s="135">
        <v>30</v>
      </c>
      <c r="F22" s="162"/>
      <c r="G22" s="79">
        <f t="shared" si="4"/>
        <v>0</v>
      </c>
      <c r="H22" s="80" t="e">
        <f>(G22-VLOOKUP(G22,TABLAS!$A$7:$D$17,1))*VLOOKUP(G22,TABLAS!$A$7:$D$17,4)+VLOOKUP(G22,TABLAS!$A$7:$D$17,3)</f>
        <v>#N/A</v>
      </c>
      <c r="I22" s="79">
        <f t="shared" si="5"/>
        <v>516.60629119999999</v>
      </c>
      <c r="J22" s="79">
        <v>0</v>
      </c>
      <c r="K22" s="79" t="e">
        <f t="shared" si="6"/>
        <v>#N/A</v>
      </c>
      <c r="L22" s="81" t="e">
        <f t="shared" si="7"/>
        <v>#N/A</v>
      </c>
      <c r="M22" s="80" t="e">
        <f t="shared" si="8"/>
        <v>#N/A</v>
      </c>
      <c r="N22" s="79" t="e">
        <f>IMSS!AK23</f>
        <v>#N/A</v>
      </c>
      <c r="O22" s="22">
        <f t="shared" si="0"/>
        <v>0</v>
      </c>
      <c r="P22" s="35">
        <f t="shared" si="1"/>
        <v>0</v>
      </c>
      <c r="Q22" s="73">
        <f t="shared" si="2"/>
        <v>472.56</v>
      </c>
      <c r="R22" s="23"/>
    </row>
    <row r="23" spans="1:18" ht="12.5" customHeight="1" x14ac:dyDescent="0.25">
      <c r="A23" s="24">
        <f t="shared" si="3"/>
        <v>17</v>
      </c>
      <c r="B23" s="163" t="s">
        <v>122</v>
      </c>
      <c r="C23" s="164" t="s">
        <v>204</v>
      </c>
      <c r="D23" s="165"/>
      <c r="E23" s="135">
        <v>30</v>
      </c>
      <c r="F23" s="162"/>
      <c r="G23" s="79">
        <f t="shared" ref="G23:G86" si="9">E23*F23</f>
        <v>0</v>
      </c>
      <c r="H23" s="80" t="e">
        <f>(G23-VLOOKUP(G23,TABLAS!$A$7:$D$17,1))*VLOOKUP(G23,TABLAS!$A$7:$D$17,4)+VLOOKUP(G23,TABLAS!$A$7:$D$17,3)</f>
        <v>#N/A</v>
      </c>
      <c r="I23" s="79">
        <f t="shared" ref="I23:I86" si="10">IF(G23&lt;=11492.66,(113.14*30.4)*15.02%,0)</f>
        <v>516.60629119999999</v>
      </c>
      <c r="J23" s="79">
        <v>0</v>
      </c>
      <c r="K23" s="79" t="e">
        <f t="shared" ref="K23:K86" si="11">+IF(H23&gt;I23,H23-I23,0)</f>
        <v>#N/A</v>
      </c>
      <c r="L23" s="81" t="e">
        <f t="shared" ref="L23:L86" si="12">+G23-K23</f>
        <v>#N/A</v>
      </c>
      <c r="M23" s="80" t="e">
        <f t="shared" ref="M23:M86" si="13">+IF(K23&gt;0,(D23-G23+K23),D23-L23)</f>
        <v>#N/A</v>
      </c>
      <c r="N23" s="79" t="e">
        <f>IMSS!#REF!</f>
        <v>#REF!</v>
      </c>
      <c r="O23" s="22">
        <f t="shared" si="0"/>
        <v>0</v>
      </c>
      <c r="P23" s="35">
        <f t="shared" si="1"/>
        <v>0</v>
      </c>
      <c r="Q23" s="73">
        <f t="shared" si="2"/>
        <v>472.56</v>
      </c>
      <c r="R23" s="23"/>
    </row>
    <row r="24" spans="1:18" ht="12.5" customHeight="1" x14ac:dyDescent="0.25">
      <c r="A24" s="24">
        <f t="shared" si="3"/>
        <v>18</v>
      </c>
      <c r="B24" s="163" t="s">
        <v>123</v>
      </c>
      <c r="C24" s="164" t="s">
        <v>205</v>
      </c>
      <c r="D24" s="165"/>
      <c r="E24" s="135">
        <v>30</v>
      </c>
      <c r="F24" s="162"/>
      <c r="G24" s="79">
        <f t="shared" si="9"/>
        <v>0</v>
      </c>
      <c r="H24" s="80" t="e">
        <f>(G24-VLOOKUP(G24,TABLAS!$A$7:$D$17,1))*VLOOKUP(G24,TABLAS!$A$7:$D$17,4)+VLOOKUP(G24,TABLAS!$A$7:$D$17,3)</f>
        <v>#N/A</v>
      </c>
      <c r="I24" s="79">
        <f t="shared" si="10"/>
        <v>516.60629119999999</v>
      </c>
      <c r="J24" s="79">
        <v>0</v>
      </c>
      <c r="K24" s="79" t="e">
        <f t="shared" si="11"/>
        <v>#N/A</v>
      </c>
      <c r="L24" s="81" t="e">
        <f t="shared" si="12"/>
        <v>#N/A</v>
      </c>
      <c r="M24" s="80" t="e">
        <f t="shared" si="13"/>
        <v>#N/A</v>
      </c>
      <c r="N24" s="79">
        <f>IMSS!AK106</f>
        <v>0</v>
      </c>
      <c r="O24" s="22">
        <f t="shared" si="0"/>
        <v>0</v>
      </c>
      <c r="P24" s="35">
        <f t="shared" si="1"/>
        <v>0</v>
      </c>
      <c r="Q24" s="73">
        <f t="shared" si="2"/>
        <v>472.56</v>
      </c>
      <c r="R24" s="23"/>
    </row>
    <row r="25" spans="1:18" ht="12.5" customHeight="1" x14ac:dyDescent="0.25">
      <c r="A25" s="24">
        <f t="shared" si="3"/>
        <v>19</v>
      </c>
      <c r="B25" s="163" t="s">
        <v>124</v>
      </c>
      <c r="C25" s="164" t="s">
        <v>206</v>
      </c>
      <c r="D25" s="165"/>
      <c r="E25" s="135">
        <v>30</v>
      </c>
      <c r="F25" s="162"/>
      <c r="G25" s="79">
        <f t="shared" si="9"/>
        <v>0</v>
      </c>
      <c r="H25" s="80" t="e">
        <f>(G25-VLOOKUP(G25,TABLAS!$A$7:$D$17,1))*VLOOKUP(G25,TABLAS!$A$7:$D$17,4)+VLOOKUP(G25,TABLAS!$A$7:$D$17,3)</f>
        <v>#N/A</v>
      </c>
      <c r="I25" s="79">
        <f t="shared" si="10"/>
        <v>516.60629119999999</v>
      </c>
      <c r="J25" s="79">
        <v>0</v>
      </c>
      <c r="K25" s="79" t="e">
        <f t="shared" si="11"/>
        <v>#N/A</v>
      </c>
      <c r="L25" s="81" t="e">
        <f t="shared" si="12"/>
        <v>#N/A</v>
      </c>
      <c r="M25" s="80" t="e">
        <f t="shared" si="13"/>
        <v>#N/A</v>
      </c>
      <c r="N25" s="79" t="e">
        <f>IMSS!AK107</f>
        <v>#N/A</v>
      </c>
      <c r="O25" s="22">
        <f t="shared" si="0"/>
        <v>0</v>
      </c>
      <c r="P25" s="35">
        <f t="shared" si="1"/>
        <v>0</v>
      </c>
      <c r="Q25" s="73">
        <f t="shared" si="2"/>
        <v>472.56</v>
      </c>
      <c r="R25" s="23"/>
    </row>
    <row r="26" spans="1:18" ht="12.5" customHeight="1" x14ac:dyDescent="0.25">
      <c r="A26" s="24">
        <f t="shared" si="3"/>
        <v>20</v>
      </c>
      <c r="B26" s="163" t="s">
        <v>125</v>
      </c>
      <c r="C26" s="164" t="s">
        <v>207</v>
      </c>
      <c r="D26" s="165"/>
      <c r="E26" s="135">
        <v>30</v>
      </c>
      <c r="F26" s="162"/>
      <c r="G26" s="79">
        <f t="shared" si="9"/>
        <v>0</v>
      </c>
      <c r="H26" s="80" t="e">
        <f>(G26-VLOOKUP(G26,TABLAS!$A$7:$D$17,1))*VLOOKUP(G26,TABLAS!$A$7:$D$17,4)+VLOOKUP(G26,TABLAS!$A$7:$D$17,3)</f>
        <v>#N/A</v>
      </c>
      <c r="I26" s="79">
        <f t="shared" si="10"/>
        <v>516.60629119999999</v>
      </c>
      <c r="J26" s="79">
        <v>0</v>
      </c>
      <c r="K26" s="79" t="e">
        <f t="shared" si="11"/>
        <v>#N/A</v>
      </c>
      <c r="L26" s="81" t="e">
        <f t="shared" si="12"/>
        <v>#N/A</v>
      </c>
      <c r="M26" s="80" t="e">
        <f t="shared" si="13"/>
        <v>#N/A</v>
      </c>
      <c r="N26" s="79">
        <f>IMSS!AK108</f>
        <v>0</v>
      </c>
      <c r="O26" s="22">
        <f t="shared" si="0"/>
        <v>0</v>
      </c>
      <c r="P26" s="35">
        <f t="shared" si="1"/>
        <v>0</v>
      </c>
      <c r="Q26" s="73">
        <f t="shared" si="2"/>
        <v>472.56</v>
      </c>
      <c r="R26" s="23"/>
    </row>
    <row r="27" spans="1:18" ht="12.5" customHeight="1" x14ac:dyDescent="0.25">
      <c r="A27" s="24">
        <f t="shared" si="3"/>
        <v>21</v>
      </c>
      <c r="B27" s="163" t="s">
        <v>126</v>
      </c>
      <c r="C27" s="164" t="s">
        <v>208</v>
      </c>
      <c r="D27" s="165"/>
      <c r="E27" s="135">
        <v>30</v>
      </c>
      <c r="F27" s="162"/>
      <c r="G27" s="79">
        <f t="shared" si="9"/>
        <v>0</v>
      </c>
      <c r="H27" s="80" t="e">
        <f>(G27-VLOOKUP(G27,TABLAS!$A$7:$D$17,1))*VLOOKUP(G27,TABLAS!$A$7:$D$17,4)+VLOOKUP(G27,TABLAS!$A$7:$D$17,3)</f>
        <v>#N/A</v>
      </c>
      <c r="I27" s="79">
        <f t="shared" si="10"/>
        <v>516.60629119999999</v>
      </c>
      <c r="J27" s="79">
        <v>0</v>
      </c>
      <c r="K27" s="79" t="e">
        <f t="shared" si="11"/>
        <v>#N/A</v>
      </c>
      <c r="L27" s="81" t="e">
        <f t="shared" si="12"/>
        <v>#N/A</v>
      </c>
      <c r="M27" s="80" t="e">
        <f t="shared" si="13"/>
        <v>#N/A</v>
      </c>
      <c r="N27" s="79">
        <f>IMSS!AK109</f>
        <v>0</v>
      </c>
      <c r="O27" s="22">
        <f t="shared" si="0"/>
        <v>0</v>
      </c>
      <c r="P27" s="35">
        <f t="shared" si="1"/>
        <v>0</v>
      </c>
      <c r="Q27" s="73">
        <f t="shared" si="2"/>
        <v>472.56</v>
      </c>
      <c r="R27" s="23"/>
    </row>
    <row r="28" spans="1:18" ht="12.5" customHeight="1" x14ac:dyDescent="0.25">
      <c r="A28" s="24">
        <f t="shared" si="3"/>
        <v>22</v>
      </c>
      <c r="B28" s="163" t="s">
        <v>127</v>
      </c>
      <c r="C28" s="164" t="s">
        <v>209</v>
      </c>
      <c r="D28" s="165"/>
      <c r="E28" s="135">
        <v>30</v>
      </c>
      <c r="F28" s="162"/>
      <c r="G28" s="79">
        <f t="shared" si="9"/>
        <v>0</v>
      </c>
      <c r="H28" s="80" t="e">
        <f>(G28-VLOOKUP(G28,TABLAS!$A$7:$D$17,1))*VLOOKUP(G28,TABLAS!$A$7:$D$17,4)+VLOOKUP(G28,TABLAS!$A$7:$D$17,3)</f>
        <v>#N/A</v>
      </c>
      <c r="I28" s="79">
        <f t="shared" si="10"/>
        <v>516.60629119999999</v>
      </c>
      <c r="J28" s="79">
        <v>0</v>
      </c>
      <c r="K28" s="79" t="e">
        <f t="shared" si="11"/>
        <v>#N/A</v>
      </c>
      <c r="L28" s="81" t="e">
        <f t="shared" si="12"/>
        <v>#N/A</v>
      </c>
      <c r="M28" s="80" t="e">
        <f t="shared" si="13"/>
        <v>#N/A</v>
      </c>
      <c r="N28" s="79">
        <f>IMSS!AK110</f>
        <v>0</v>
      </c>
      <c r="O28" s="22">
        <f t="shared" si="0"/>
        <v>0</v>
      </c>
      <c r="P28" s="35">
        <f t="shared" si="1"/>
        <v>0</v>
      </c>
      <c r="Q28" s="73">
        <f t="shared" si="2"/>
        <v>472.56</v>
      </c>
      <c r="R28" s="23"/>
    </row>
    <row r="29" spans="1:18" ht="12.5" customHeight="1" x14ac:dyDescent="0.25">
      <c r="A29" s="24">
        <f t="shared" si="3"/>
        <v>23</v>
      </c>
      <c r="B29" s="163" t="s">
        <v>128</v>
      </c>
      <c r="C29" s="164" t="s">
        <v>210</v>
      </c>
      <c r="D29" s="165"/>
      <c r="E29" s="135">
        <v>30</v>
      </c>
      <c r="F29" s="162"/>
      <c r="G29" s="79">
        <f t="shared" si="9"/>
        <v>0</v>
      </c>
      <c r="H29" s="80" t="e">
        <f>(G29-VLOOKUP(G29,TABLAS!$A$7:$D$17,1))*VLOOKUP(G29,TABLAS!$A$7:$D$17,4)+VLOOKUP(G29,TABLAS!$A$7:$D$17,3)</f>
        <v>#N/A</v>
      </c>
      <c r="I29" s="79">
        <f t="shared" si="10"/>
        <v>516.60629119999999</v>
      </c>
      <c r="J29" s="79">
        <v>0</v>
      </c>
      <c r="K29" s="79" t="e">
        <f t="shared" si="11"/>
        <v>#N/A</v>
      </c>
      <c r="L29" s="81" t="e">
        <f t="shared" si="12"/>
        <v>#N/A</v>
      </c>
      <c r="M29" s="80" t="e">
        <f t="shared" si="13"/>
        <v>#N/A</v>
      </c>
      <c r="N29" s="79">
        <f>IMSS!AK111</f>
        <v>0</v>
      </c>
      <c r="O29" s="22">
        <f t="shared" si="0"/>
        <v>0</v>
      </c>
      <c r="P29" s="35">
        <f t="shared" si="1"/>
        <v>0</v>
      </c>
      <c r="Q29" s="73">
        <f t="shared" si="2"/>
        <v>472.56</v>
      </c>
      <c r="R29" s="23"/>
    </row>
    <row r="30" spans="1:18" ht="12.5" customHeight="1" x14ac:dyDescent="0.25">
      <c r="A30" s="24">
        <f t="shared" si="3"/>
        <v>24</v>
      </c>
      <c r="B30" s="163" t="s">
        <v>129</v>
      </c>
      <c r="C30" s="164" t="s">
        <v>211</v>
      </c>
      <c r="D30" s="165"/>
      <c r="E30" s="135">
        <v>30</v>
      </c>
      <c r="F30" s="162"/>
      <c r="G30" s="79">
        <f t="shared" si="9"/>
        <v>0</v>
      </c>
      <c r="H30" s="80" t="e">
        <f>(G30-VLOOKUP(G30,TABLAS!$A$7:$D$17,1))*VLOOKUP(G30,TABLAS!$A$7:$D$17,4)+VLOOKUP(G30,TABLAS!$A$7:$D$17,3)</f>
        <v>#N/A</v>
      </c>
      <c r="I30" s="79">
        <f t="shared" si="10"/>
        <v>516.60629119999999</v>
      </c>
      <c r="J30" s="79">
        <v>0</v>
      </c>
      <c r="K30" s="79" t="e">
        <f t="shared" si="11"/>
        <v>#N/A</v>
      </c>
      <c r="L30" s="81" t="e">
        <f t="shared" si="12"/>
        <v>#N/A</v>
      </c>
      <c r="M30" s="80" t="e">
        <f t="shared" si="13"/>
        <v>#N/A</v>
      </c>
      <c r="N30" s="79">
        <f>IMSS!AK112</f>
        <v>0</v>
      </c>
      <c r="O30" s="22">
        <f t="shared" si="0"/>
        <v>0</v>
      </c>
      <c r="P30" s="35">
        <f t="shared" si="1"/>
        <v>0</v>
      </c>
      <c r="Q30" s="73">
        <f t="shared" si="2"/>
        <v>472.56</v>
      </c>
      <c r="R30" s="23"/>
    </row>
    <row r="31" spans="1:18" ht="12.5" customHeight="1" x14ac:dyDescent="0.25">
      <c r="A31" s="24">
        <f t="shared" si="3"/>
        <v>25</v>
      </c>
      <c r="B31" s="163" t="s">
        <v>130</v>
      </c>
      <c r="C31" s="164" t="s">
        <v>212</v>
      </c>
      <c r="D31" s="165"/>
      <c r="E31" s="135">
        <v>30</v>
      </c>
      <c r="F31" s="162"/>
      <c r="G31" s="79">
        <f t="shared" si="9"/>
        <v>0</v>
      </c>
      <c r="H31" s="80" t="e">
        <f>(G31-VLOOKUP(G31,TABLAS!$A$7:$D$17,1))*VLOOKUP(G31,TABLAS!$A$7:$D$17,4)+VLOOKUP(G31,TABLAS!$A$7:$D$17,3)</f>
        <v>#N/A</v>
      </c>
      <c r="I31" s="79">
        <f t="shared" si="10"/>
        <v>516.60629119999999</v>
      </c>
      <c r="J31" s="79">
        <v>0</v>
      </c>
      <c r="K31" s="79" t="e">
        <f t="shared" si="11"/>
        <v>#N/A</v>
      </c>
      <c r="L31" s="81" t="e">
        <f t="shared" si="12"/>
        <v>#N/A</v>
      </c>
      <c r="M31" s="80" t="e">
        <f t="shared" si="13"/>
        <v>#N/A</v>
      </c>
      <c r="N31" s="79">
        <f>IMSS!AK113</f>
        <v>0</v>
      </c>
      <c r="O31" s="22">
        <f t="shared" si="0"/>
        <v>0</v>
      </c>
      <c r="P31" s="35">
        <f t="shared" si="1"/>
        <v>0</v>
      </c>
      <c r="Q31" s="73">
        <f t="shared" si="2"/>
        <v>472.56</v>
      </c>
      <c r="R31" s="23"/>
    </row>
    <row r="32" spans="1:18" ht="12.5" customHeight="1" x14ac:dyDescent="0.25">
      <c r="A32" s="24">
        <f t="shared" si="3"/>
        <v>26</v>
      </c>
      <c r="B32" s="163" t="s">
        <v>131</v>
      </c>
      <c r="C32" s="164" t="s">
        <v>213</v>
      </c>
      <c r="D32" s="165"/>
      <c r="E32" s="135">
        <v>30</v>
      </c>
      <c r="F32" s="162"/>
      <c r="G32" s="79">
        <f t="shared" si="9"/>
        <v>0</v>
      </c>
      <c r="H32" s="80" t="e">
        <f>(G32-VLOOKUP(G32,TABLAS!$A$7:$D$17,1))*VLOOKUP(G32,TABLAS!$A$7:$D$17,4)+VLOOKUP(G32,TABLAS!$A$7:$D$17,3)</f>
        <v>#N/A</v>
      </c>
      <c r="I32" s="79">
        <f t="shared" si="10"/>
        <v>516.60629119999999</v>
      </c>
      <c r="J32" s="79">
        <v>0</v>
      </c>
      <c r="K32" s="79" t="e">
        <f t="shared" si="11"/>
        <v>#N/A</v>
      </c>
      <c r="L32" s="81" t="e">
        <f t="shared" si="12"/>
        <v>#N/A</v>
      </c>
      <c r="M32" s="80" t="e">
        <f t="shared" si="13"/>
        <v>#N/A</v>
      </c>
      <c r="N32" s="79">
        <f>IMSS!AK114</f>
        <v>0</v>
      </c>
      <c r="O32" s="22">
        <f t="shared" si="0"/>
        <v>0</v>
      </c>
      <c r="P32" s="35">
        <f t="shared" si="1"/>
        <v>0</v>
      </c>
      <c r="Q32" s="73">
        <f t="shared" si="2"/>
        <v>472.56</v>
      </c>
      <c r="R32" s="23"/>
    </row>
    <row r="33" spans="1:18" ht="12.5" customHeight="1" x14ac:dyDescent="0.25">
      <c r="A33" s="24">
        <f t="shared" si="3"/>
        <v>27</v>
      </c>
      <c r="B33" s="163" t="s">
        <v>132</v>
      </c>
      <c r="C33" s="164" t="s">
        <v>214</v>
      </c>
      <c r="D33" s="165"/>
      <c r="E33" s="135">
        <v>30</v>
      </c>
      <c r="F33" s="162"/>
      <c r="G33" s="79">
        <f t="shared" si="9"/>
        <v>0</v>
      </c>
      <c r="H33" s="80" t="e">
        <f>(G33-VLOOKUP(G33,TABLAS!$A$7:$D$17,1))*VLOOKUP(G33,TABLAS!$A$7:$D$17,4)+VLOOKUP(G33,TABLAS!$A$7:$D$17,3)</f>
        <v>#N/A</v>
      </c>
      <c r="I33" s="79">
        <f t="shared" si="10"/>
        <v>516.60629119999999</v>
      </c>
      <c r="J33" s="79">
        <v>0</v>
      </c>
      <c r="K33" s="79" t="e">
        <f t="shared" si="11"/>
        <v>#N/A</v>
      </c>
      <c r="L33" s="81" t="e">
        <f t="shared" si="12"/>
        <v>#N/A</v>
      </c>
      <c r="M33" s="80" t="e">
        <f t="shared" si="13"/>
        <v>#N/A</v>
      </c>
      <c r="N33" s="79">
        <f>IMSS!AK115</f>
        <v>0</v>
      </c>
      <c r="O33" s="22">
        <f t="shared" si="0"/>
        <v>0</v>
      </c>
      <c r="P33" s="35">
        <f t="shared" si="1"/>
        <v>0</v>
      </c>
      <c r="Q33" s="73">
        <f t="shared" si="2"/>
        <v>472.56</v>
      </c>
      <c r="R33" s="23"/>
    </row>
    <row r="34" spans="1:18" ht="12.5" customHeight="1" x14ac:dyDescent="0.25">
      <c r="A34" s="24">
        <f t="shared" si="3"/>
        <v>28</v>
      </c>
      <c r="B34" s="163" t="s">
        <v>133</v>
      </c>
      <c r="C34" s="164" t="s">
        <v>215</v>
      </c>
      <c r="D34" s="165"/>
      <c r="E34" s="135">
        <v>30</v>
      </c>
      <c r="F34" s="162"/>
      <c r="G34" s="79">
        <f t="shared" si="9"/>
        <v>0</v>
      </c>
      <c r="H34" s="80" t="e">
        <f>(G34-VLOOKUP(G34,TABLAS!$A$7:$D$17,1))*VLOOKUP(G34,TABLAS!$A$7:$D$17,4)+VLOOKUP(G34,TABLAS!$A$7:$D$17,3)</f>
        <v>#N/A</v>
      </c>
      <c r="I34" s="79">
        <f t="shared" si="10"/>
        <v>516.60629119999999</v>
      </c>
      <c r="J34" s="79">
        <v>0</v>
      </c>
      <c r="K34" s="79" t="e">
        <f t="shared" si="11"/>
        <v>#N/A</v>
      </c>
      <c r="L34" s="81" t="e">
        <f t="shared" si="12"/>
        <v>#N/A</v>
      </c>
      <c r="M34" s="80" t="e">
        <f t="shared" si="13"/>
        <v>#N/A</v>
      </c>
      <c r="N34" s="79">
        <f>IMSS!AK116</f>
        <v>0</v>
      </c>
      <c r="O34" s="22">
        <f t="shared" si="0"/>
        <v>0</v>
      </c>
      <c r="P34" s="35">
        <f t="shared" si="1"/>
        <v>0</v>
      </c>
      <c r="Q34" s="73">
        <f t="shared" si="2"/>
        <v>472.56</v>
      </c>
      <c r="R34" s="23"/>
    </row>
    <row r="35" spans="1:18" ht="12.5" customHeight="1" x14ac:dyDescent="0.25">
      <c r="A35" s="24">
        <f t="shared" si="3"/>
        <v>29</v>
      </c>
      <c r="B35" s="163" t="s">
        <v>134</v>
      </c>
      <c r="C35" s="164" t="s">
        <v>216</v>
      </c>
      <c r="D35" s="165"/>
      <c r="E35" s="135">
        <v>30</v>
      </c>
      <c r="F35" s="162"/>
      <c r="G35" s="79">
        <f t="shared" si="9"/>
        <v>0</v>
      </c>
      <c r="H35" s="80" t="e">
        <f>(G35-VLOOKUP(G35,TABLAS!$A$7:$D$17,1))*VLOOKUP(G35,TABLAS!$A$7:$D$17,4)+VLOOKUP(G35,TABLAS!$A$7:$D$17,3)</f>
        <v>#N/A</v>
      </c>
      <c r="I35" s="79">
        <f t="shared" si="10"/>
        <v>516.60629119999999</v>
      </c>
      <c r="J35" s="79">
        <v>0</v>
      </c>
      <c r="K35" s="79" t="e">
        <f t="shared" si="11"/>
        <v>#N/A</v>
      </c>
      <c r="L35" s="81" t="e">
        <f t="shared" si="12"/>
        <v>#N/A</v>
      </c>
      <c r="M35" s="80" t="e">
        <f t="shared" si="13"/>
        <v>#N/A</v>
      </c>
      <c r="N35" s="79">
        <f>IMSS!AK117</f>
        <v>0</v>
      </c>
      <c r="O35" s="22">
        <f t="shared" si="0"/>
        <v>0</v>
      </c>
      <c r="P35" s="35">
        <f t="shared" si="1"/>
        <v>0</v>
      </c>
      <c r="Q35" s="73">
        <f t="shared" si="2"/>
        <v>472.56</v>
      </c>
      <c r="R35" s="23"/>
    </row>
    <row r="36" spans="1:18" ht="12.5" customHeight="1" x14ac:dyDescent="0.25">
      <c r="A36" s="24">
        <f t="shared" si="3"/>
        <v>30</v>
      </c>
      <c r="B36" s="163" t="s">
        <v>135</v>
      </c>
      <c r="C36" s="164" t="s">
        <v>217</v>
      </c>
      <c r="D36" s="165"/>
      <c r="E36" s="135">
        <v>30</v>
      </c>
      <c r="F36" s="162"/>
      <c r="G36" s="79">
        <f t="shared" si="9"/>
        <v>0</v>
      </c>
      <c r="H36" s="80" t="e">
        <f>(G36-VLOOKUP(G36,TABLAS!$A$7:$D$17,1))*VLOOKUP(G36,TABLAS!$A$7:$D$17,4)+VLOOKUP(G36,TABLAS!$A$7:$D$17,3)</f>
        <v>#N/A</v>
      </c>
      <c r="I36" s="79">
        <f t="shared" si="10"/>
        <v>516.60629119999999</v>
      </c>
      <c r="J36" s="79">
        <v>0</v>
      </c>
      <c r="K36" s="79" t="e">
        <f t="shared" si="11"/>
        <v>#N/A</v>
      </c>
      <c r="L36" s="81" t="e">
        <f t="shared" si="12"/>
        <v>#N/A</v>
      </c>
      <c r="M36" s="80" t="e">
        <f t="shared" si="13"/>
        <v>#N/A</v>
      </c>
      <c r="N36" s="79">
        <f>IMSS!AK118</f>
        <v>0</v>
      </c>
      <c r="O36" s="22">
        <f t="shared" si="0"/>
        <v>0</v>
      </c>
      <c r="P36" s="35">
        <f t="shared" si="1"/>
        <v>0</v>
      </c>
      <c r="Q36" s="73">
        <f t="shared" si="2"/>
        <v>472.56</v>
      </c>
      <c r="R36" s="23"/>
    </row>
    <row r="37" spans="1:18" ht="12.5" customHeight="1" x14ac:dyDescent="0.25">
      <c r="A37" s="24">
        <f t="shared" si="3"/>
        <v>31</v>
      </c>
      <c r="B37" s="163" t="s">
        <v>136</v>
      </c>
      <c r="C37" s="164" t="s">
        <v>218</v>
      </c>
      <c r="D37" s="165"/>
      <c r="E37" s="135">
        <v>30</v>
      </c>
      <c r="F37" s="162"/>
      <c r="G37" s="79">
        <f t="shared" si="9"/>
        <v>0</v>
      </c>
      <c r="H37" s="80" t="e">
        <f>(G37-VLOOKUP(G37,TABLAS!$A$7:$D$17,1))*VLOOKUP(G37,TABLAS!$A$7:$D$17,4)+VLOOKUP(G37,TABLAS!$A$7:$D$17,3)</f>
        <v>#N/A</v>
      </c>
      <c r="I37" s="79">
        <f t="shared" si="10"/>
        <v>516.60629119999999</v>
      </c>
      <c r="J37" s="79">
        <v>0</v>
      </c>
      <c r="K37" s="79" t="e">
        <f t="shared" si="11"/>
        <v>#N/A</v>
      </c>
      <c r="L37" s="81" t="e">
        <f t="shared" si="12"/>
        <v>#N/A</v>
      </c>
      <c r="M37" s="80" t="e">
        <f t="shared" si="13"/>
        <v>#N/A</v>
      </c>
      <c r="N37" s="79">
        <f>IMSS!AK119</f>
        <v>0</v>
      </c>
      <c r="O37" s="22">
        <f t="shared" si="0"/>
        <v>0</v>
      </c>
      <c r="P37" s="35">
        <f t="shared" si="1"/>
        <v>0</v>
      </c>
      <c r="Q37" s="73">
        <f t="shared" si="2"/>
        <v>472.56</v>
      </c>
      <c r="R37" s="23"/>
    </row>
    <row r="38" spans="1:18" ht="12.5" customHeight="1" x14ac:dyDescent="0.25">
      <c r="A38" s="24">
        <f t="shared" si="3"/>
        <v>32</v>
      </c>
      <c r="B38" s="163" t="s">
        <v>137</v>
      </c>
      <c r="C38" s="164" t="s">
        <v>219</v>
      </c>
      <c r="D38" s="165"/>
      <c r="E38" s="135">
        <v>30</v>
      </c>
      <c r="F38" s="162"/>
      <c r="G38" s="79">
        <f t="shared" si="9"/>
        <v>0</v>
      </c>
      <c r="H38" s="80" t="e">
        <f>(G38-VLOOKUP(G38,TABLAS!$A$7:$D$17,1))*VLOOKUP(G38,TABLAS!$A$7:$D$17,4)+VLOOKUP(G38,TABLAS!$A$7:$D$17,3)</f>
        <v>#N/A</v>
      </c>
      <c r="I38" s="79">
        <f t="shared" si="10"/>
        <v>516.60629119999999</v>
      </c>
      <c r="J38" s="79">
        <v>0</v>
      </c>
      <c r="K38" s="79" t="e">
        <f t="shared" si="11"/>
        <v>#N/A</v>
      </c>
      <c r="L38" s="81" t="e">
        <f t="shared" si="12"/>
        <v>#N/A</v>
      </c>
      <c r="M38" s="80" t="e">
        <f t="shared" si="13"/>
        <v>#N/A</v>
      </c>
      <c r="N38" s="79">
        <f>IMSS!AK120</f>
        <v>0</v>
      </c>
      <c r="O38" s="22">
        <f t="shared" si="0"/>
        <v>0</v>
      </c>
      <c r="P38" s="35">
        <f t="shared" si="1"/>
        <v>0</v>
      </c>
      <c r="Q38" s="73">
        <f t="shared" si="2"/>
        <v>472.56</v>
      </c>
      <c r="R38" s="23"/>
    </row>
    <row r="39" spans="1:18" ht="12.5" customHeight="1" x14ac:dyDescent="0.25">
      <c r="A39" s="24">
        <f t="shared" si="3"/>
        <v>33</v>
      </c>
      <c r="B39" s="163" t="s">
        <v>138</v>
      </c>
      <c r="C39" s="164" t="s">
        <v>220</v>
      </c>
      <c r="D39" s="165"/>
      <c r="E39" s="135">
        <v>30</v>
      </c>
      <c r="F39" s="162"/>
      <c r="G39" s="79">
        <f t="shared" si="9"/>
        <v>0</v>
      </c>
      <c r="H39" s="80" t="e">
        <f>(G39-VLOOKUP(G39,TABLAS!$A$7:$D$17,1))*VLOOKUP(G39,TABLAS!$A$7:$D$17,4)+VLOOKUP(G39,TABLAS!$A$7:$D$17,3)</f>
        <v>#N/A</v>
      </c>
      <c r="I39" s="79">
        <f t="shared" si="10"/>
        <v>516.60629119999999</v>
      </c>
      <c r="J39" s="79">
        <v>0</v>
      </c>
      <c r="K39" s="79" t="e">
        <f t="shared" si="11"/>
        <v>#N/A</v>
      </c>
      <c r="L39" s="81" t="e">
        <f t="shared" si="12"/>
        <v>#N/A</v>
      </c>
      <c r="M39" s="80" t="e">
        <f t="shared" si="13"/>
        <v>#N/A</v>
      </c>
      <c r="N39" s="79">
        <f>IMSS!AK121</f>
        <v>0</v>
      </c>
      <c r="O39" s="22">
        <f t="shared" si="0"/>
        <v>0</v>
      </c>
      <c r="P39" s="35">
        <f t="shared" si="1"/>
        <v>0</v>
      </c>
      <c r="Q39" s="73">
        <f t="shared" si="2"/>
        <v>472.56</v>
      </c>
      <c r="R39" s="23"/>
    </row>
    <row r="40" spans="1:18" ht="12.5" customHeight="1" x14ac:dyDescent="0.25">
      <c r="A40" s="24">
        <f t="shared" si="3"/>
        <v>34</v>
      </c>
      <c r="B40" s="163" t="s">
        <v>139</v>
      </c>
      <c r="C40" s="164" t="s">
        <v>221</v>
      </c>
      <c r="D40" s="165"/>
      <c r="E40" s="135">
        <v>30</v>
      </c>
      <c r="F40" s="162"/>
      <c r="G40" s="79">
        <f t="shared" si="9"/>
        <v>0</v>
      </c>
      <c r="H40" s="80" t="e">
        <f>(G40-VLOOKUP(G40,TABLAS!$A$7:$D$17,1))*VLOOKUP(G40,TABLAS!$A$7:$D$17,4)+VLOOKUP(G40,TABLAS!$A$7:$D$17,3)</f>
        <v>#N/A</v>
      </c>
      <c r="I40" s="79">
        <f t="shared" si="10"/>
        <v>516.60629119999999</v>
      </c>
      <c r="J40" s="79">
        <v>0</v>
      </c>
      <c r="K40" s="79" t="e">
        <f t="shared" si="11"/>
        <v>#N/A</v>
      </c>
      <c r="L40" s="81" t="e">
        <f t="shared" si="12"/>
        <v>#N/A</v>
      </c>
      <c r="M40" s="80" t="e">
        <f t="shared" si="13"/>
        <v>#N/A</v>
      </c>
      <c r="N40" s="79">
        <f>IMSS!AK122</f>
        <v>0</v>
      </c>
      <c r="O40" s="22">
        <f t="shared" si="0"/>
        <v>0</v>
      </c>
      <c r="P40" s="35">
        <f t="shared" si="1"/>
        <v>0</v>
      </c>
      <c r="Q40" s="73">
        <f t="shared" si="2"/>
        <v>472.56</v>
      </c>
      <c r="R40" s="23"/>
    </row>
    <row r="41" spans="1:18" ht="12.5" customHeight="1" x14ac:dyDescent="0.25">
      <c r="A41" s="24">
        <f t="shared" si="3"/>
        <v>35</v>
      </c>
      <c r="B41" s="163" t="s">
        <v>140</v>
      </c>
      <c r="C41" s="164" t="s">
        <v>222</v>
      </c>
      <c r="D41" s="165"/>
      <c r="E41" s="135">
        <v>30</v>
      </c>
      <c r="F41" s="162"/>
      <c r="G41" s="79">
        <f t="shared" si="9"/>
        <v>0</v>
      </c>
      <c r="H41" s="80" t="e">
        <f>(G41-VLOOKUP(G41,TABLAS!$A$7:$D$17,1))*VLOOKUP(G41,TABLAS!$A$7:$D$17,4)+VLOOKUP(G41,TABLAS!$A$7:$D$17,3)</f>
        <v>#N/A</v>
      </c>
      <c r="I41" s="79">
        <f t="shared" si="10"/>
        <v>516.60629119999999</v>
      </c>
      <c r="J41" s="79">
        <v>0</v>
      </c>
      <c r="K41" s="79" t="e">
        <f t="shared" si="11"/>
        <v>#N/A</v>
      </c>
      <c r="L41" s="81" t="e">
        <f t="shared" si="12"/>
        <v>#N/A</v>
      </c>
      <c r="M41" s="80" t="e">
        <f t="shared" si="13"/>
        <v>#N/A</v>
      </c>
      <c r="N41" s="79">
        <f>IMSS!AK123</f>
        <v>0</v>
      </c>
      <c r="O41" s="22">
        <f t="shared" si="0"/>
        <v>0</v>
      </c>
      <c r="P41" s="35">
        <f t="shared" si="1"/>
        <v>0</v>
      </c>
      <c r="Q41" s="73">
        <f t="shared" si="2"/>
        <v>472.56</v>
      </c>
      <c r="R41" s="23"/>
    </row>
    <row r="42" spans="1:18" ht="12.5" customHeight="1" x14ac:dyDescent="0.25">
      <c r="A42" s="24">
        <f t="shared" si="3"/>
        <v>36</v>
      </c>
      <c r="B42" s="163" t="s">
        <v>141</v>
      </c>
      <c r="C42" s="164" t="s">
        <v>223</v>
      </c>
      <c r="D42" s="165"/>
      <c r="E42" s="135">
        <v>30</v>
      </c>
      <c r="F42" s="162"/>
      <c r="G42" s="79">
        <f t="shared" si="9"/>
        <v>0</v>
      </c>
      <c r="H42" s="80" t="e">
        <f>(G42-VLOOKUP(G42,TABLAS!$A$7:$D$17,1))*VLOOKUP(G42,TABLAS!$A$7:$D$17,4)+VLOOKUP(G42,TABLAS!$A$7:$D$17,3)</f>
        <v>#N/A</v>
      </c>
      <c r="I42" s="79">
        <f t="shared" si="10"/>
        <v>516.60629119999999</v>
      </c>
      <c r="J42" s="79">
        <v>0</v>
      </c>
      <c r="K42" s="79" t="e">
        <f t="shared" si="11"/>
        <v>#N/A</v>
      </c>
      <c r="L42" s="81" t="e">
        <f t="shared" si="12"/>
        <v>#N/A</v>
      </c>
      <c r="M42" s="80" t="e">
        <f t="shared" si="13"/>
        <v>#N/A</v>
      </c>
      <c r="N42" s="79">
        <f>IMSS!AK124</f>
        <v>0</v>
      </c>
      <c r="O42" s="22">
        <f t="shared" si="0"/>
        <v>0</v>
      </c>
      <c r="P42" s="35">
        <f t="shared" si="1"/>
        <v>0</v>
      </c>
      <c r="Q42" s="73">
        <f t="shared" si="2"/>
        <v>472.56</v>
      </c>
      <c r="R42" s="23"/>
    </row>
    <row r="43" spans="1:18" ht="12.5" customHeight="1" x14ac:dyDescent="0.25">
      <c r="A43" s="24">
        <f t="shared" si="3"/>
        <v>37</v>
      </c>
      <c r="B43" s="163" t="s">
        <v>142</v>
      </c>
      <c r="C43" s="164" t="s">
        <v>224</v>
      </c>
      <c r="D43" s="165"/>
      <c r="E43" s="135">
        <v>30</v>
      </c>
      <c r="F43" s="162"/>
      <c r="G43" s="79">
        <f t="shared" si="9"/>
        <v>0</v>
      </c>
      <c r="H43" s="80" t="e">
        <f>(G43-VLOOKUP(G43,TABLAS!$A$7:$D$17,1))*VLOOKUP(G43,TABLAS!$A$7:$D$17,4)+VLOOKUP(G43,TABLAS!$A$7:$D$17,3)</f>
        <v>#N/A</v>
      </c>
      <c r="I43" s="79">
        <f t="shared" si="10"/>
        <v>516.60629119999999</v>
      </c>
      <c r="J43" s="79">
        <v>0</v>
      </c>
      <c r="K43" s="79" t="e">
        <f t="shared" si="11"/>
        <v>#N/A</v>
      </c>
      <c r="L43" s="81" t="e">
        <f t="shared" si="12"/>
        <v>#N/A</v>
      </c>
      <c r="M43" s="80" t="e">
        <f t="shared" si="13"/>
        <v>#N/A</v>
      </c>
      <c r="N43" s="79">
        <f>IMSS!AK125</f>
        <v>0</v>
      </c>
      <c r="O43" s="22">
        <f t="shared" si="0"/>
        <v>0</v>
      </c>
      <c r="P43" s="35">
        <f t="shared" si="1"/>
        <v>0</v>
      </c>
      <c r="Q43" s="73">
        <f t="shared" si="2"/>
        <v>472.56</v>
      </c>
      <c r="R43" s="23"/>
    </row>
    <row r="44" spans="1:18" ht="12.5" customHeight="1" x14ac:dyDescent="0.25">
      <c r="A44" s="24">
        <f t="shared" si="3"/>
        <v>38</v>
      </c>
      <c r="B44" s="163" t="s">
        <v>143</v>
      </c>
      <c r="C44" s="164" t="s">
        <v>225</v>
      </c>
      <c r="D44" s="165"/>
      <c r="E44" s="135">
        <v>30</v>
      </c>
      <c r="F44" s="162"/>
      <c r="G44" s="79">
        <f t="shared" si="9"/>
        <v>0</v>
      </c>
      <c r="H44" s="80" t="e">
        <f>(G44-VLOOKUP(G44,TABLAS!$A$7:$D$17,1))*VLOOKUP(G44,TABLAS!$A$7:$D$17,4)+VLOOKUP(G44,TABLAS!$A$7:$D$17,3)</f>
        <v>#N/A</v>
      </c>
      <c r="I44" s="79">
        <f t="shared" si="10"/>
        <v>516.60629119999999</v>
      </c>
      <c r="J44" s="79">
        <v>0</v>
      </c>
      <c r="K44" s="79" t="e">
        <f t="shared" si="11"/>
        <v>#N/A</v>
      </c>
      <c r="L44" s="81" t="e">
        <f t="shared" si="12"/>
        <v>#N/A</v>
      </c>
      <c r="M44" s="80" t="e">
        <f t="shared" si="13"/>
        <v>#N/A</v>
      </c>
      <c r="N44" s="79">
        <f>IMSS!AK126</f>
        <v>0</v>
      </c>
      <c r="O44" s="22">
        <f t="shared" si="0"/>
        <v>0</v>
      </c>
      <c r="P44" s="35">
        <f t="shared" si="1"/>
        <v>0</v>
      </c>
      <c r="Q44" s="73">
        <f t="shared" si="2"/>
        <v>472.56</v>
      </c>
      <c r="R44" s="23"/>
    </row>
    <row r="45" spans="1:18" ht="12.5" customHeight="1" x14ac:dyDescent="0.25">
      <c r="A45" s="24">
        <f t="shared" si="3"/>
        <v>39</v>
      </c>
      <c r="B45" s="163" t="s">
        <v>144</v>
      </c>
      <c r="C45" s="164" t="s">
        <v>226</v>
      </c>
      <c r="D45" s="165"/>
      <c r="E45" s="135">
        <v>30</v>
      </c>
      <c r="F45" s="162"/>
      <c r="G45" s="79">
        <f t="shared" si="9"/>
        <v>0</v>
      </c>
      <c r="H45" s="80" t="e">
        <f>(G45-VLOOKUP(G45,TABLAS!$A$7:$D$17,1))*VLOOKUP(G45,TABLAS!$A$7:$D$17,4)+VLOOKUP(G45,TABLAS!$A$7:$D$17,3)</f>
        <v>#N/A</v>
      </c>
      <c r="I45" s="79">
        <f t="shared" si="10"/>
        <v>516.60629119999999</v>
      </c>
      <c r="J45" s="79">
        <v>0</v>
      </c>
      <c r="K45" s="79" t="e">
        <f t="shared" si="11"/>
        <v>#N/A</v>
      </c>
      <c r="L45" s="81" t="e">
        <f t="shared" si="12"/>
        <v>#N/A</v>
      </c>
      <c r="M45" s="80" t="e">
        <f t="shared" si="13"/>
        <v>#N/A</v>
      </c>
      <c r="N45" s="79">
        <f>IMSS!AK127</f>
        <v>0</v>
      </c>
      <c r="O45" s="22">
        <f t="shared" si="0"/>
        <v>0</v>
      </c>
      <c r="P45" s="35">
        <f t="shared" si="1"/>
        <v>0</v>
      </c>
      <c r="Q45" s="73">
        <f t="shared" si="2"/>
        <v>472.56</v>
      </c>
      <c r="R45" s="23"/>
    </row>
    <row r="46" spans="1:18" ht="12.5" customHeight="1" x14ac:dyDescent="0.25">
      <c r="A46" s="24">
        <f t="shared" si="3"/>
        <v>40</v>
      </c>
      <c r="B46" s="163" t="s">
        <v>145</v>
      </c>
      <c r="C46" s="164" t="s">
        <v>227</v>
      </c>
      <c r="D46" s="165"/>
      <c r="E46" s="135">
        <v>30</v>
      </c>
      <c r="F46" s="162"/>
      <c r="G46" s="79">
        <f t="shared" si="9"/>
        <v>0</v>
      </c>
      <c r="H46" s="80" t="e">
        <f>(G46-VLOOKUP(G46,TABLAS!$A$7:$D$17,1))*VLOOKUP(G46,TABLAS!$A$7:$D$17,4)+VLOOKUP(G46,TABLAS!$A$7:$D$17,3)</f>
        <v>#N/A</v>
      </c>
      <c r="I46" s="79">
        <f t="shared" si="10"/>
        <v>516.60629119999999</v>
      </c>
      <c r="J46" s="79">
        <v>0</v>
      </c>
      <c r="K46" s="79" t="e">
        <f t="shared" si="11"/>
        <v>#N/A</v>
      </c>
      <c r="L46" s="81" t="e">
        <f t="shared" si="12"/>
        <v>#N/A</v>
      </c>
      <c r="M46" s="80" t="e">
        <f t="shared" si="13"/>
        <v>#N/A</v>
      </c>
      <c r="N46" s="79">
        <f>IMSS!AK128</f>
        <v>0</v>
      </c>
      <c r="O46" s="22">
        <f t="shared" si="0"/>
        <v>0</v>
      </c>
      <c r="P46" s="35">
        <f t="shared" si="1"/>
        <v>0</v>
      </c>
      <c r="Q46" s="73">
        <f t="shared" si="2"/>
        <v>472.56</v>
      </c>
      <c r="R46" s="23"/>
    </row>
    <row r="47" spans="1:18" ht="12.5" customHeight="1" x14ac:dyDescent="0.25">
      <c r="A47" s="24">
        <f t="shared" si="3"/>
        <v>41</v>
      </c>
      <c r="B47" s="163" t="s">
        <v>146</v>
      </c>
      <c r="C47" s="164" t="s">
        <v>228</v>
      </c>
      <c r="D47" s="165"/>
      <c r="E47" s="135">
        <v>30</v>
      </c>
      <c r="F47" s="162"/>
      <c r="G47" s="79">
        <f t="shared" si="9"/>
        <v>0</v>
      </c>
      <c r="H47" s="80" t="e">
        <f>(G47-VLOOKUP(G47,TABLAS!$A$7:$D$17,1))*VLOOKUP(G47,TABLAS!$A$7:$D$17,4)+VLOOKUP(G47,TABLAS!$A$7:$D$17,3)</f>
        <v>#N/A</v>
      </c>
      <c r="I47" s="79">
        <f t="shared" si="10"/>
        <v>516.60629119999999</v>
      </c>
      <c r="J47" s="79">
        <v>0</v>
      </c>
      <c r="K47" s="79" t="e">
        <f t="shared" si="11"/>
        <v>#N/A</v>
      </c>
      <c r="L47" s="81" t="e">
        <f t="shared" si="12"/>
        <v>#N/A</v>
      </c>
      <c r="M47" s="80" t="e">
        <f t="shared" si="13"/>
        <v>#N/A</v>
      </c>
      <c r="N47" s="79">
        <f>IMSS!AK129</f>
        <v>0</v>
      </c>
      <c r="O47" s="22">
        <f t="shared" si="0"/>
        <v>0</v>
      </c>
      <c r="P47" s="35">
        <f t="shared" si="1"/>
        <v>0</v>
      </c>
      <c r="Q47" s="73">
        <f t="shared" si="2"/>
        <v>472.56</v>
      </c>
      <c r="R47" s="23"/>
    </row>
    <row r="48" spans="1:18" ht="12.5" customHeight="1" x14ac:dyDescent="0.25">
      <c r="A48" s="24">
        <f t="shared" si="3"/>
        <v>42</v>
      </c>
      <c r="B48" s="163" t="s">
        <v>147</v>
      </c>
      <c r="C48" s="164" t="s">
        <v>229</v>
      </c>
      <c r="D48" s="165"/>
      <c r="E48" s="135">
        <v>30</v>
      </c>
      <c r="F48" s="162"/>
      <c r="G48" s="79">
        <f t="shared" si="9"/>
        <v>0</v>
      </c>
      <c r="H48" s="80" t="e">
        <f>(G48-VLOOKUP(G48,TABLAS!$A$7:$D$17,1))*VLOOKUP(G48,TABLAS!$A$7:$D$17,4)+VLOOKUP(G48,TABLAS!$A$7:$D$17,3)</f>
        <v>#N/A</v>
      </c>
      <c r="I48" s="79">
        <f t="shared" si="10"/>
        <v>516.60629119999999</v>
      </c>
      <c r="J48" s="79">
        <v>0</v>
      </c>
      <c r="K48" s="79" t="e">
        <f t="shared" si="11"/>
        <v>#N/A</v>
      </c>
      <c r="L48" s="81" t="e">
        <f t="shared" si="12"/>
        <v>#N/A</v>
      </c>
      <c r="M48" s="80" t="e">
        <f t="shared" si="13"/>
        <v>#N/A</v>
      </c>
      <c r="N48" s="79">
        <f>IMSS!AK130</f>
        <v>0</v>
      </c>
      <c r="O48" s="22">
        <f t="shared" si="0"/>
        <v>0</v>
      </c>
      <c r="P48" s="35">
        <f t="shared" si="1"/>
        <v>0</v>
      </c>
      <c r="Q48" s="73">
        <f t="shared" si="2"/>
        <v>472.56</v>
      </c>
      <c r="R48" s="23"/>
    </row>
    <row r="49" spans="1:18" ht="12.5" customHeight="1" x14ac:dyDescent="0.25">
      <c r="A49" s="24">
        <f t="shared" si="3"/>
        <v>43</v>
      </c>
      <c r="B49" s="163" t="s">
        <v>148</v>
      </c>
      <c r="C49" s="164" t="s">
        <v>230</v>
      </c>
      <c r="D49" s="165"/>
      <c r="E49" s="135">
        <v>30</v>
      </c>
      <c r="F49" s="162"/>
      <c r="G49" s="79">
        <f t="shared" si="9"/>
        <v>0</v>
      </c>
      <c r="H49" s="80" t="e">
        <f>(G49-VLOOKUP(G49,TABLAS!$A$7:$D$17,1))*VLOOKUP(G49,TABLAS!$A$7:$D$17,4)+VLOOKUP(G49,TABLAS!$A$7:$D$17,3)</f>
        <v>#N/A</v>
      </c>
      <c r="I49" s="79">
        <f t="shared" si="10"/>
        <v>516.60629119999999</v>
      </c>
      <c r="J49" s="79">
        <v>0</v>
      </c>
      <c r="K49" s="79" t="e">
        <f t="shared" si="11"/>
        <v>#N/A</v>
      </c>
      <c r="L49" s="81" t="e">
        <f t="shared" si="12"/>
        <v>#N/A</v>
      </c>
      <c r="M49" s="80" t="e">
        <f t="shared" si="13"/>
        <v>#N/A</v>
      </c>
      <c r="N49" s="79">
        <f>IMSS!AK131</f>
        <v>0</v>
      </c>
      <c r="O49" s="22">
        <f t="shared" si="0"/>
        <v>0</v>
      </c>
      <c r="P49" s="35">
        <f t="shared" si="1"/>
        <v>0</v>
      </c>
      <c r="Q49" s="73">
        <f t="shared" si="2"/>
        <v>472.56</v>
      </c>
      <c r="R49" s="23"/>
    </row>
    <row r="50" spans="1:18" ht="12.5" customHeight="1" x14ac:dyDescent="0.25">
      <c r="A50" s="24">
        <f t="shared" si="3"/>
        <v>44</v>
      </c>
      <c r="B50" s="163" t="s">
        <v>149</v>
      </c>
      <c r="C50" s="164" t="s">
        <v>231</v>
      </c>
      <c r="D50" s="165"/>
      <c r="E50" s="135">
        <v>30</v>
      </c>
      <c r="F50" s="162"/>
      <c r="G50" s="79">
        <f t="shared" si="9"/>
        <v>0</v>
      </c>
      <c r="H50" s="80" t="e">
        <f>(G50-VLOOKUP(G50,TABLAS!$A$7:$D$17,1))*VLOOKUP(G50,TABLAS!$A$7:$D$17,4)+VLOOKUP(G50,TABLAS!$A$7:$D$17,3)</f>
        <v>#N/A</v>
      </c>
      <c r="I50" s="79">
        <f t="shared" si="10"/>
        <v>516.60629119999999</v>
      </c>
      <c r="J50" s="79">
        <v>0</v>
      </c>
      <c r="K50" s="79" t="e">
        <f t="shared" si="11"/>
        <v>#N/A</v>
      </c>
      <c r="L50" s="81" t="e">
        <f t="shared" si="12"/>
        <v>#N/A</v>
      </c>
      <c r="M50" s="80" t="e">
        <f t="shared" si="13"/>
        <v>#N/A</v>
      </c>
      <c r="N50" s="79">
        <f>IMSS!AK132</f>
        <v>0</v>
      </c>
      <c r="O50" s="22">
        <f t="shared" si="0"/>
        <v>0</v>
      </c>
      <c r="P50" s="35">
        <f t="shared" si="1"/>
        <v>0</v>
      </c>
      <c r="Q50" s="73">
        <f t="shared" si="2"/>
        <v>472.56</v>
      </c>
      <c r="R50" s="23"/>
    </row>
    <row r="51" spans="1:18" ht="12.5" customHeight="1" x14ac:dyDescent="0.25">
      <c r="A51" s="24">
        <f t="shared" si="3"/>
        <v>45</v>
      </c>
      <c r="B51" s="163" t="s">
        <v>150</v>
      </c>
      <c r="C51" s="164" t="s">
        <v>232</v>
      </c>
      <c r="D51" s="165"/>
      <c r="E51" s="135">
        <v>30</v>
      </c>
      <c r="F51" s="162"/>
      <c r="G51" s="79">
        <f t="shared" si="9"/>
        <v>0</v>
      </c>
      <c r="H51" s="80" t="e">
        <f>(G51-VLOOKUP(G51,TABLAS!$A$7:$D$17,1))*VLOOKUP(G51,TABLAS!$A$7:$D$17,4)+VLOOKUP(G51,TABLAS!$A$7:$D$17,3)</f>
        <v>#N/A</v>
      </c>
      <c r="I51" s="79">
        <f t="shared" si="10"/>
        <v>516.60629119999999</v>
      </c>
      <c r="J51" s="79">
        <v>0</v>
      </c>
      <c r="K51" s="79" t="e">
        <f t="shared" si="11"/>
        <v>#N/A</v>
      </c>
      <c r="L51" s="81" t="e">
        <f t="shared" si="12"/>
        <v>#N/A</v>
      </c>
      <c r="M51" s="80" t="e">
        <f t="shared" si="13"/>
        <v>#N/A</v>
      </c>
      <c r="N51" s="79">
        <f>IMSS!AK133</f>
        <v>0</v>
      </c>
      <c r="O51" s="22">
        <f t="shared" si="0"/>
        <v>0</v>
      </c>
      <c r="P51" s="35">
        <f t="shared" si="1"/>
        <v>0</v>
      </c>
      <c r="Q51" s="73">
        <f t="shared" si="2"/>
        <v>472.56</v>
      </c>
      <c r="R51" s="23"/>
    </row>
    <row r="52" spans="1:18" ht="12.5" customHeight="1" x14ac:dyDescent="0.25">
      <c r="A52" s="24">
        <f t="shared" si="3"/>
        <v>46</v>
      </c>
      <c r="B52" s="163" t="s">
        <v>151</v>
      </c>
      <c r="C52" s="164" t="s">
        <v>233</v>
      </c>
      <c r="D52" s="165"/>
      <c r="E52" s="135">
        <v>30</v>
      </c>
      <c r="F52" s="162"/>
      <c r="G52" s="79">
        <f t="shared" si="9"/>
        <v>0</v>
      </c>
      <c r="H52" s="80" t="e">
        <f>(G52-VLOOKUP(G52,TABLAS!$A$7:$D$17,1))*VLOOKUP(G52,TABLAS!$A$7:$D$17,4)+VLOOKUP(G52,TABLAS!$A$7:$D$17,3)</f>
        <v>#N/A</v>
      </c>
      <c r="I52" s="79">
        <f t="shared" si="10"/>
        <v>516.60629119999999</v>
      </c>
      <c r="J52" s="79">
        <v>0</v>
      </c>
      <c r="K52" s="79" t="e">
        <f t="shared" si="11"/>
        <v>#N/A</v>
      </c>
      <c r="L52" s="81" t="e">
        <f t="shared" si="12"/>
        <v>#N/A</v>
      </c>
      <c r="M52" s="80" t="e">
        <f t="shared" si="13"/>
        <v>#N/A</v>
      </c>
      <c r="N52" s="79">
        <f>IMSS!AK134</f>
        <v>0</v>
      </c>
      <c r="O52" s="22">
        <f t="shared" si="0"/>
        <v>0</v>
      </c>
      <c r="P52" s="35">
        <f t="shared" si="1"/>
        <v>0</v>
      </c>
      <c r="Q52" s="73">
        <f t="shared" si="2"/>
        <v>472.56</v>
      </c>
      <c r="R52" s="23"/>
    </row>
    <row r="53" spans="1:18" ht="12.5" customHeight="1" x14ac:dyDescent="0.25">
      <c r="A53" s="24">
        <f t="shared" si="3"/>
        <v>47</v>
      </c>
      <c r="B53" s="163" t="s">
        <v>152</v>
      </c>
      <c r="C53" s="164" t="s">
        <v>234</v>
      </c>
      <c r="D53" s="165"/>
      <c r="E53" s="135">
        <v>30</v>
      </c>
      <c r="F53" s="162"/>
      <c r="G53" s="79">
        <f t="shared" si="9"/>
        <v>0</v>
      </c>
      <c r="H53" s="80" t="e">
        <f>(G53-VLOOKUP(G53,TABLAS!$A$7:$D$17,1))*VLOOKUP(G53,TABLAS!$A$7:$D$17,4)+VLOOKUP(G53,TABLAS!$A$7:$D$17,3)</f>
        <v>#N/A</v>
      </c>
      <c r="I53" s="79">
        <f t="shared" si="10"/>
        <v>516.60629119999999</v>
      </c>
      <c r="J53" s="79">
        <v>0</v>
      </c>
      <c r="K53" s="79" t="e">
        <f t="shared" si="11"/>
        <v>#N/A</v>
      </c>
      <c r="L53" s="81" t="e">
        <f t="shared" si="12"/>
        <v>#N/A</v>
      </c>
      <c r="M53" s="80" t="e">
        <f t="shared" si="13"/>
        <v>#N/A</v>
      </c>
      <c r="N53" s="79">
        <f>IMSS!AK135</f>
        <v>0</v>
      </c>
      <c r="O53" s="22">
        <f t="shared" si="0"/>
        <v>0</v>
      </c>
      <c r="P53" s="35">
        <f t="shared" si="1"/>
        <v>0</v>
      </c>
      <c r="Q53" s="73">
        <f t="shared" si="2"/>
        <v>472.56</v>
      </c>
      <c r="R53" s="23"/>
    </row>
    <row r="54" spans="1:18" ht="12.5" customHeight="1" x14ac:dyDescent="0.25">
      <c r="A54" s="24">
        <f t="shared" si="3"/>
        <v>48</v>
      </c>
      <c r="B54" s="163" t="s">
        <v>153</v>
      </c>
      <c r="C54" s="164" t="s">
        <v>235</v>
      </c>
      <c r="D54" s="165"/>
      <c r="E54" s="135">
        <v>30</v>
      </c>
      <c r="F54" s="162"/>
      <c r="G54" s="79">
        <f t="shared" si="9"/>
        <v>0</v>
      </c>
      <c r="H54" s="80" t="e">
        <f>(G54-VLOOKUP(G54,TABLAS!$A$7:$D$17,1))*VLOOKUP(G54,TABLAS!$A$7:$D$17,4)+VLOOKUP(G54,TABLAS!$A$7:$D$17,3)</f>
        <v>#N/A</v>
      </c>
      <c r="I54" s="79">
        <f t="shared" si="10"/>
        <v>516.60629119999999</v>
      </c>
      <c r="J54" s="79">
        <v>0</v>
      </c>
      <c r="K54" s="79" t="e">
        <f t="shared" si="11"/>
        <v>#N/A</v>
      </c>
      <c r="L54" s="81" t="e">
        <f t="shared" si="12"/>
        <v>#N/A</v>
      </c>
      <c r="M54" s="80" t="e">
        <f t="shared" si="13"/>
        <v>#N/A</v>
      </c>
      <c r="N54" s="79">
        <f>IMSS!AK136</f>
        <v>0</v>
      </c>
      <c r="O54" s="22">
        <f t="shared" si="0"/>
        <v>0</v>
      </c>
      <c r="P54" s="35">
        <f t="shared" si="1"/>
        <v>0</v>
      </c>
      <c r="Q54" s="73">
        <f t="shared" si="2"/>
        <v>472.56</v>
      </c>
      <c r="R54" s="23"/>
    </row>
    <row r="55" spans="1:18" ht="12.5" customHeight="1" x14ac:dyDescent="0.25">
      <c r="A55" s="24">
        <f t="shared" si="3"/>
        <v>49</v>
      </c>
      <c r="B55" s="163" t="s">
        <v>154</v>
      </c>
      <c r="C55" s="164" t="s">
        <v>236</v>
      </c>
      <c r="D55" s="165"/>
      <c r="E55" s="135">
        <v>30</v>
      </c>
      <c r="F55" s="162"/>
      <c r="G55" s="79">
        <f t="shared" si="9"/>
        <v>0</v>
      </c>
      <c r="H55" s="80" t="e">
        <f>(G55-VLOOKUP(G55,TABLAS!$A$7:$D$17,1))*VLOOKUP(G55,TABLAS!$A$7:$D$17,4)+VLOOKUP(G55,TABLAS!$A$7:$D$17,3)</f>
        <v>#N/A</v>
      </c>
      <c r="I55" s="79">
        <f t="shared" si="10"/>
        <v>516.60629119999999</v>
      </c>
      <c r="J55" s="79">
        <v>0</v>
      </c>
      <c r="K55" s="79" t="e">
        <f t="shared" si="11"/>
        <v>#N/A</v>
      </c>
      <c r="L55" s="81" t="e">
        <f t="shared" si="12"/>
        <v>#N/A</v>
      </c>
      <c r="M55" s="80" t="e">
        <f t="shared" si="13"/>
        <v>#N/A</v>
      </c>
      <c r="N55" s="79">
        <f>IMSS!AK137</f>
        <v>0</v>
      </c>
      <c r="O55" s="22">
        <f t="shared" si="0"/>
        <v>0</v>
      </c>
      <c r="P55" s="35">
        <f t="shared" si="1"/>
        <v>0</v>
      </c>
      <c r="Q55" s="73">
        <f t="shared" si="2"/>
        <v>472.56</v>
      </c>
      <c r="R55" s="23"/>
    </row>
    <row r="56" spans="1:18" ht="12.5" customHeight="1" x14ac:dyDescent="0.25">
      <c r="A56" s="24">
        <f t="shared" si="3"/>
        <v>50</v>
      </c>
      <c r="B56" s="163" t="s">
        <v>155</v>
      </c>
      <c r="C56" s="164" t="s">
        <v>237</v>
      </c>
      <c r="D56" s="165"/>
      <c r="E56" s="135">
        <v>30</v>
      </c>
      <c r="F56" s="162"/>
      <c r="G56" s="79">
        <f t="shared" si="9"/>
        <v>0</v>
      </c>
      <c r="H56" s="80" t="e">
        <f>(G56-VLOOKUP(G56,TABLAS!$A$7:$D$17,1))*VLOOKUP(G56,TABLAS!$A$7:$D$17,4)+VLOOKUP(G56,TABLAS!$A$7:$D$17,3)</f>
        <v>#N/A</v>
      </c>
      <c r="I56" s="79">
        <f t="shared" si="10"/>
        <v>516.60629119999999</v>
      </c>
      <c r="J56" s="79">
        <v>0</v>
      </c>
      <c r="K56" s="79" t="e">
        <f t="shared" si="11"/>
        <v>#N/A</v>
      </c>
      <c r="L56" s="81" t="e">
        <f t="shared" si="12"/>
        <v>#N/A</v>
      </c>
      <c r="M56" s="80" t="e">
        <f t="shared" si="13"/>
        <v>#N/A</v>
      </c>
      <c r="N56" s="79">
        <f>IMSS!AK138</f>
        <v>0</v>
      </c>
      <c r="O56" s="22">
        <f t="shared" si="0"/>
        <v>0</v>
      </c>
      <c r="P56" s="35">
        <f t="shared" si="1"/>
        <v>0</v>
      </c>
      <c r="Q56" s="73">
        <f t="shared" si="2"/>
        <v>472.56</v>
      </c>
      <c r="R56" s="23"/>
    </row>
    <row r="57" spans="1:18" ht="12.5" customHeight="1" x14ac:dyDescent="0.25">
      <c r="A57" s="24">
        <f t="shared" si="3"/>
        <v>51</v>
      </c>
      <c r="B57" s="163" t="s">
        <v>156</v>
      </c>
      <c r="C57" s="164" t="s">
        <v>238</v>
      </c>
      <c r="D57" s="165"/>
      <c r="E57" s="135">
        <v>30</v>
      </c>
      <c r="F57" s="162"/>
      <c r="G57" s="79">
        <f t="shared" si="9"/>
        <v>0</v>
      </c>
      <c r="H57" s="80" t="e">
        <f>(G57-VLOOKUP(G57,TABLAS!$A$7:$D$17,1))*VLOOKUP(G57,TABLAS!$A$7:$D$17,4)+VLOOKUP(G57,TABLAS!$A$7:$D$17,3)</f>
        <v>#N/A</v>
      </c>
      <c r="I57" s="79">
        <f t="shared" si="10"/>
        <v>516.60629119999999</v>
      </c>
      <c r="J57" s="79">
        <v>0</v>
      </c>
      <c r="K57" s="79" t="e">
        <f t="shared" si="11"/>
        <v>#N/A</v>
      </c>
      <c r="L57" s="81" t="e">
        <f t="shared" si="12"/>
        <v>#N/A</v>
      </c>
      <c r="M57" s="80" t="e">
        <f t="shared" si="13"/>
        <v>#N/A</v>
      </c>
      <c r="N57" s="79">
        <f>IMSS!AK139</f>
        <v>0</v>
      </c>
      <c r="O57" s="22">
        <f t="shared" si="0"/>
        <v>0</v>
      </c>
      <c r="P57" s="35">
        <f t="shared" si="1"/>
        <v>0</v>
      </c>
      <c r="Q57" s="73">
        <f t="shared" si="2"/>
        <v>472.56</v>
      </c>
      <c r="R57" s="23"/>
    </row>
    <row r="58" spans="1:18" ht="12.5" customHeight="1" x14ac:dyDescent="0.25">
      <c r="A58" s="24">
        <f t="shared" si="3"/>
        <v>52</v>
      </c>
      <c r="B58" s="163" t="s">
        <v>157</v>
      </c>
      <c r="C58" s="164" t="s">
        <v>239</v>
      </c>
      <c r="D58" s="165"/>
      <c r="E58" s="135">
        <v>30</v>
      </c>
      <c r="F58" s="162"/>
      <c r="G58" s="79">
        <f t="shared" si="9"/>
        <v>0</v>
      </c>
      <c r="H58" s="80" t="e">
        <f>(G58-VLOOKUP(G58,TABLAS!$A$7:$D$17,1))*VLOOKUP(G58,TABLAS!$A$7:$D$17,4)+VLOOKUP(G58,TABLAS!$A$7:$D$17,3)</f>
        <v>#N/A</v>
      </c>
      <c r="I58" s="79">
        <f t="shared" si="10"/>
        <v>516.60629119999999</v>
      </c>
      <c r="J58" s="79">
        <v>0</v>
      </c>
      <c r="K58" s="79" t="e">
        <f t="shared" si="11"/>
        <v>#N/A</v>
      </c>
      <c r="L58" s="81" t="e">
        <f t="shared" si="12"/>
        <v>#N/A</v>
      </c>
      <c r="M58" s="80" t="e">
        <f t="shared" si="13"/>
        <v>#N/A</v>
      </c>
      <c r="N58" s="79">
        <f>IMSS!AK140</f>
        <v>0</v>
      </c>
      <c r="O58" s="22">
        <f t="shared" si="0"/>
        <v>0</v>
      </c>
      <c r="P58" s="35">
        <f t="shared" si="1"/>
        <v>0</v>
      </c>
      <c r="Q58" s="73">
        <f t="shared" si="2"/>
        <v>472.56</v>
      </c>
      <c r="R58" s="23"/>
    </row>
    <row r="59" spans="1:18" ht="12.5" customHeight="1" x14ac:dyDescent="0.25">
      <c r="A59" s="24">
        <f t="shared" si="3"/>
        <v>53</v>
      </c>
      <c r="B59" s="163" t="s">
        <v>158</v>
      </c>
      <c r="C59" s="164" t="s">
        <v>240</v>
      </c>
      <c r="D59" s="165"/>
      <c r="E59" s="135">
        <v>30</v>
      </c>
      <c r="F59" s="162"/>
      <c r="G59" s="79">
        <f t="shared" si="9"/>
        <v>0</v>
      </c>
      <c r="H59" s="80" t="e">
        <f>(G59-VLOOKUP(G59,TABLAS!$A$7:$D$17,1))*VLOOKUP(G59,TABLAS!$A$7:$D$17,4)+VLOOKUP(G59,TABLAS!$A$7:$D$17,3)</f>
        <v>#N/A</v>
      </c>
      <c r="I59" s="79">
        <f t="shared" si="10"/>
        <v>516.60629119999999</v>
      </c>
      <c r="J59" s="79">
        <v>0</v>
      </c>
      <c r="K59" s="79" t="e">
        <f t="shared" si="11"/>
        <v>#N/A</v>
      </c>
      <c r="L59" s="81" t="e">
        <f t="shared" si="12"/>
        <v>#N/A</v>
      </c>
      <c r="M59" s="80" t="e">
        <f t="shared" si="13"/>
        <v>#N/A</v>
      </c>
      <c r="N59" s="79">
        <f>IMSS!AK141</f>
        <v>0</v>
      </c>
      <c r="O59" s="22">
        <f t="shared" si="0"/>
        <v>0</v>
      </c>
      <c r="P59" s="35">
        <f t="shared" si="1"/>
        <v>0</v>
      </c>
      <c r="Q59" s="73">
        <f t="shared" si="2"/>
        <v>472.56</v>
      </c>
      <c r="R59" s="23"/>
    </row>
    <row r="60" spans="1:18" ht="12.5" customHeight="1" x14ac:dyDescent="0.25">
      <c r="A60" s="24">
        <f t="shared" si="3"/>
        <v>54</v>
      </c>
      <c r="B60" s="163" t="s">
        <v>159</v>
      </c>
      <c r="C60" s="164" t="s">
        <v>241</v>
      </c>
      <c r="D60" s="165"/>
      <c r="E60" s="135">
        <v>30</v>
      </c>
      <c r="F60" s="162"/>
      <c r="G60" s="79">
        <f t="shared" si="9"/>
        <v>0</v>
      </c>
      <c r="H60" s="80" t="e">
        <f>(G60-VLOOKUP(G60,TABLAS!$A$7:$D$17,1))*VLOOKUP(G60,TABLAS!$A$7:$D$17,4)+VLOOKUP(G60,TABLAS!$A$7:$D$17,3)</f>
        <v>#N/A</v>
      </c>
      <c r="I60" s="79">
        <f t="shared" si="10"/>
        <v>516.60629119999999</v>
      </c>
      <c r="J60" s="79">
        <v>0</v>
      </c>
      <c r="K60" s="79" t="e">
        <f t="shared" si="11"/>
        <v>#N/A</v>
      </c>
      <c r="L60" s="81" t="e">
        <f t="shared" si="12"/>
        <v>#N/A</v>
      </c>
      <c r="M60" s="80" t="e">
        <f t="shared" si="13"/>
        <v>#N/A</v>
      </c>
      <c r="N60" s="79">
        <f>IMSS!AK142</f>
        <v>0</v>
      </c>
      <c r="O60" s="22">
        <f t="shared" si="0"/>
        <v>0</v>
      </c>
      <c r="P60" s="35">
        <f t="shared" si="1"/>
        <v>0</v>
      </c>
      <c r="Q60" s="73">
        <f t="shared" si="2"/>
        <v>472.56</v>
      </c>
      <c r="R60" s="23"/>
    </row>
    <row r="61" spans="1:18" ht="12.5" customHeight="1" x14ac:dyDescent="0.25">
      <c r="A61" s="24">
        <f t="shared" si="3"/>
        <v>55</v>
      </c>
      <c r="B61" s="163" t="s">
        <v>160</v>
      </c>
      <c r="C61" s="164" t="s">
        <v>242</v>
      </c>
      <c r="D61" s="165"/>
      <c r="E61" s="135">
        <v>30</v>
      </c>
      <c r="F61" s="162"/>
      <c r="G61" s="79">
        <f t="shared" si="9"/>
        <v>0</v>
      </c>
      <c r="H61" s="80" t="e">
        <f>(G61-VLOOKUP(G61,TABLAS!$A$7:$D$17,1))*VLOOKUP(G61,TABLAS!$A$7:$D$17,4)+VLOOKUP(G61,TABLAS!$A$7:$D$17,3)</f>
        <v>#N/A</v>
      </c>
      <c r="I61" s="79">
        <f t="shared" si="10"/>
        <v>516.60629119999999</v>
      </c>
      <c r="J61" s="79">
        <v>0</v>
      </c>
      <c r="K61" s="79" t="e">
        <f t="shared" si="11"/>
        <v>#N/A</v>
      </c>
      <c r="L61" s="81" t="e">
        <f t="shared" si="12"/>
        <v>#N/A</v>
      </c>
      <c r="M61" s="80" t="e">
        <f t="shared" si="13"/>
        <v>#N/A</v>
      </c>
      <c r="N61" s="79">
        <f>IMSS!AK143</f>
        <v>0</v>
      </c>
      <c r="O61" s="22">
        <f t="shared" si="0"/>
        <v>0</v>
      </c>
      <c r="P61" s="35">
        <f t="shared" si="1"/>
        <v>0</v>
      </c>
      <c r="Q61" s="73">
        <f t="shared" si="2"/>
        <v>472.56</v>
      </c>
      <c r="R61" s="23"/>
    </row>
    <row r="62" spans="1:18" ht="12.5" customHeight="1" x14ac:dyDescent="0.25">
      <c r="A62" s="24">
        <f t="shared" si="3"/>
        <v>56</v>
      </c>
      <c r="B62" s="163" t="s">
        <v>161</v>
      </c>
      <c r="C62" s="164" t="s">
        <v>243</v>
      </c>
      <c r="D62" s="165"/>
      <c r="E62" s="135">
        <v>30</v>
      </c>
      <c r="F62" s="162"/>
      <c r="G62" s="79">
        <f t="shared" si="9"/>
        <v>0</v>
      </c>
      <c r="H62" s="80" t="e">
        <f>(G62-VLOOKUP(G62,TABLAS!$A$7:$D$17,1))*VLOOKUP(G62,TABLAS!$A$7:$D$17,4)+VLOOKUP(G62,TABLAS!$A$7:$D$17,3)</f>
        <v>#N/A</v>
      </c>
      <c r="I62" s="79">
        <f t="shared" si="10"/>
        <v>516.60629119999999</v>
      </c>
      <c r="J62" s="79">
        <v>0</v>
      </c>
      <c r="K62" s="79" t="e">
        <f t="shared" si="11"/>
        <v>#N/A</v>
      </c>
      <c r="L62" s="81" t="e">
        <f t="shared" si="12"/>
        <v>#N/A</v>
      </c>
      <c r="M62" s="80" t="e">
        <f t="shared" si="13"/>
        <v>#N/A</v>
      </c>
      <c r="N62" s="79">
        <f>IMSS!AK144</f>
        <v>0</v>
      </c>
      <c r="O62" s="22">
        <f t="shared" si="0"/>
        <v>0</v>
      </c>
      <c r="P62" s="35">
        <f t="shared" si="1"/>
        <v>0</v>
      </c>
      <c r="Q62" s="73">
        <f t="shared" si="2"/>
        <v>472.56</v>
      </c>
      <c r="R62" s="23"/>
    </row>
    <row r="63" spans="1:18" ht="12.5" customHeight="1" x14ac:dyDescent="0.25">
      <c r="A63" s="24">
        <f t="shared" si="3"/>
        <v>57</v>
      </c>
      <c r="B63" s="163" t="s">
        <v>162</v>
      </c>
      <c r="C63" s="164" t="s">
        <v>244</v>
      </c>
      <c r="D63" s="165"/>
      <c r="E63" s="135">
        <v>30</v>
      </c>
      <c r="F63" s="162"/>
      <c r="G63" s="79">
        <f t="shared" si="9"/>
        <v>0</v>
      </c>
      <c r="H63" s="80" t="e">
        <f>(G63-VLOOKUP(G63,TABLAS!$A$7:$D$17,1))*VLOOKUP(G63,TABLAS!$A$7:$D$17,4)+VLOOKUP(G63,TABLAS!$A$7:$D$17,3)</f>
        <v>#N/A</v>
      </c>
      <c r="I63" s="79">
        <f t="shared" si="10"/>
        <v>516.60629119999999</v>
      </c>
      <c r="J63" s="79">
        <v>0</v>
      </c>
      <c r="K63" s="79" t="e">
        <f t="shared" si="11"/>
        <v>#N/A</v>
      </c>
      <c r="L63" s="81" t="e">
        <f t="shared" si="12"/>
        <v>#N/A</v>
      </c>
      <c r="M63" s="80" t="e">
        <f t="shared" si="13"/>
        <v>#N/A</v>
      </c>
      <c r="N63" s="79">
        <f>IMSS!AK145</f>
        <v>0</v>
      </c>
      <c r="O63" s="22">
        <f t="shared" si="0"/>
        <v>0</v>
      </c>
      <c r="P63" s="35">
        <f t="shared" si="1"/>
        <v>0</v>
      </c>
      <c r="Q63" s="73">
        <f t="shared" si="2"/>
        <v>472.56</v>
      </c>
      <c r="R63" s="23"/>
    </row>
    <row r="64" spans="1:18" ht="12.5" customHeight="1" x14ac:dyDescent="0.25">
      <c r="A64" s="24">
        <f t="shared" si="3"/>
        <v>58</v>
      </c>
      <c r="B64" s="163" t="s">
        <v>163</v>
      </c>
      <c r="C64" s="164" t="s">
        <v>245</v>
      </c>
      <c r="D64" s="165"/>
      <c r="E64" s="135">
        <v>30</v>
      </c>
      <c r="F64" s="162"/>
      <c r="G64" s="79">
        <f t="shared" si="9"/>
        <v>0</v>
      </c>
      <c r="H64" s="80" t="e">
        <f>(G64-VLOOKUP(G64,TABLAS!$A$7:$D$17,1))*VLOOKUP(G64,TABLAS!$A$7:$D$17,4)+VLOOKUP(G64,TABLAS!$A$7:$D$17,3)</f>
        <v>#N/A</v>
      </c>
      <c r="I64" s="79">
        <f t="shared" si="10"/>
        <v>516.60629119999999</v>
      </c>
      <c r="J64" s="79">
        <v>0</v>
      </c>
      <c r="K64" s="79" t="e">
        <f t="shared" si="11"/>
        <v>#N/A</v>
      </c>
      <c r="L64" s="81" t="e">
        <f t="shared" si="12"/>
        <v>#N/A</v>
      </c>
      <c r="M64" s="80" t="e">
        <f t="shared" si="13"/>
        <v>#N/A</v>
      </c>
      <c r="N64" s="79">
        <f>IMSS!AK146</f>
        <v>0</v>
      </c>
      <c r="O64" s="22">
        <f t="shared" si="0"/>
        <v>0</v>
      </c>
      <c r="P64" s="35">
        <f t="shared" si="1"/>
        <v>0</v>
      </c>
      <c r="Q64" s="73">
        <f t="shared" si="2"/>
        <v>472.56</v>
      </c>
      <c r="R64" s="23"/>
    </row>
    <row r="65" spans="1:18" ht="12.5" customHeight="1" x14ac:dyDescent="0.25">
      <c r="A65" s="24">
        <f t="shared" si="3"/>
        <v>59</v>
      </c>
      <c r="B65" s="163" t="s">
        <v>164</v>
      </c>
      <c r="C65" s="164" t="s">
        <v>246</v>
      </c>
      <c r="D65" s="165"/>
      <c r="E65" s="135">
        <v>30</v>
      </c>
      <c r="F65" s="162"/>
      <c r="G65" s="79">
        <f t="shared" si="9"/>
        <v>0</v>
      </c>
      <c r="H65" s="80" t="e">
        <f>(G65-VLOOKUP(G65,TABLAS!$A$7:$D$17,1))*VLOOKUP(G65,TABLAS!$A$7:$D$17,4)+VLOOKUP(G65,TABLAS!$A$7:$D$17,3)</f>
        <v>#N/A</v>
      </c>
      <c r="I65" s="79">
        <f t="shared" si="10"/>
        <v>516.60629119999999</v>
      </c>
      <c r="J65" s="79">
        <v>0</v>
      </c>
      <c r="K65" s="79" t="e">
        <f t="shared" si="11"/>
        <v>#N/A</v>
      </c>
      <c r="L65" s="81" t="e">
        <f t="shared" si="12"/>
        <v>#N/A</v>
      </c>
      <c r="M65" s="80" t="e">
        <f t="shared" si="13"/>
        <v>#N/A</v>
      </c>
      <c r="N65" s="79">
        <f>IMSS!AK147</f>
        <v>0</v>
      </c>
      <c r="O65" s="22">
        <f t="shared" si="0"/>
        <v>0</v>
      </c>
      <c r="P65" s="35">
        <f t="shared" si="1"/>
        <v>0</v>
      </c>
      <c r="Q65" s="73">
        <f t="shared" si="2"/>
        <v>472.56</v>
      </c>
      <c r="R65" s="23"/>
    </row>
    <row r="66" spans="1:18" ht="12.5" customHeight="1" x14ac:dyDescent="0.25">
      <c r="A66" s="24">
        <f t="shared" si="3"/>
        <v>60</v>
      </c>
      <c r="B66" s="163" t="s">
        <v>165</v>
      </c>
      <c r="C66" s="164" t="s">
        <v>247</v>
      </c>
      <c r="D66" s="165"/>
      <c r="E66" s="135">
        <v>30</v>
      </c>
      <c r="F66" s="162"/>
      <c r="G66" s="79">
        <f t="shared" si="9"/>
        <v>0</v>
      </c>
      <c r="H66" s="80" t="e">
        <f>(G66-VLOOKUP(G66,TABLAS!$A$7:$D$17,1))*VLOOKUP(G66,TABLAS!$A$7:$D$17,4)+VLOOKUP(G66,TABLAS!$A$7:$D$17,3)</f>
        <v>#N/A</v>
      </c>
      <c r="I66" s="79">
        <f t="shared" si="10"/>
        <v>516.60629119999999</v>
      </c>
      <c r="J66" s="79">
        <v>0</v>
      </c>
      <c r="K66" s="79" t="e">
        <f t="shared" si="11"/>
        <v>#N/A</v>
      </c>
      <c r="L66" s="81" t="e">
        <f t="shared" si="12"/>
        <v>#N/A</v>
      </c>
      <c r="M66" s="80" t="e">
        <f t="shared" si="13"/>
        <v>#N/A</v>
      </c>
      <c r="N66" s="79">
        <f>IMSS!AK148</f>
        <v>0</v>
      </c>
      <c r="O66" s="22">
        <f t="shared" si="0"/>
        <v>0</v>
      </c>
      <c r="P66" s="35">
        <f t="shared" si="1"/>
        <v>0</v>
      </c>
      <c r="Q66" s="73">
        <f t="shared" si="2"/>
        <v>472.56</v>
      </c>
      <c r="R66" s="23"/>
    </row>
    <row r="67" spans="1:18" ht="12.5" customHeight="1" x14ac:dyDescent="0.25">
      <c r="A67" s="24">
        <f t="shared" si="3"/>
        <v>61</v>
      </c>
      <c r="B67" s="163" t="s">
        <v>166</v>
      </c>
      <c r="C67" s="164" t="s">
        <v>248</v>
      </c>
      <c r="D67" s="165"/>
      <c r="E67" s="135">
        <v>30</v>
      </c>
      <c r="F67" s="162"/>
      <c r="G67" s="79">
        <f t="shared" si="9"/>
        <v>0</v>
      </c>
      <c r="H67" s="80" t="e">
        <f>(G67-VLOOKUP(G67,TABLAS!$A$7:$D$17,1))*VLOOKUP(G67,TABLAS!$A$7:$D$17,4)+VLOOKUP(G67,TABLAS!$A$7:$D$17,3)</f>
        <v>#N/A</v>
      </c>
      <c r="I67" s="79">
        <f t="shared" si="10"/>
        <v>516.60629119999999</v>
      </c>
      <c r="J67" s="79">
        <v>0</v>
      </c>
      <c r="K67" s="79" t="e">
        <f t="shared" si="11"/>
        <v>#N/A</v>
      </c>
      <c r="L67" s="81" t="e">
        <f t="shared" si="12"/>
        <v>#N/A</v>
      </c>
      <c r="M67" s="80" t="e">
        <f t="shared" si="13"/>
        <v>#N/A</v>
      </c>
      <c r="N67" s="79">
        <f>IMSS!AK149</f>
        <v>0</v>
      </c>
      <c r="O67" s="22">
        <f t="shared" si="0"/>
        <v>0</v>
      </c>
      <c r="P67" s="35">
        <f t="shared" si="1"/>
        <v>0</v>
      </c>
      <c r="Q67" s="73">
        <f t="shared" si="2"/>
        <v>472.56</v>
      </c>
      <c r="R67" s="23"/>
    </row>
    <row r="68" spans="1:18" ht="12.5" customHeight="1" x14ac:dyDescent="0.25">
      <c r="A68" s="24">
        <f t="shared" si="3"/>
        <v>62</v>
      </c>
      <c r="B68" s="163" t="s">
        <v>167</v>
      </c>
      <c r="C68" s="164" t="s">
        <v>249</v>
      </c>
      <c r="D68" s="165"/>
      <c r="E68" s="135">
        <v>30</v>
      </c>
      <c r="F68" s="162"/>
      <c r="G68" s="79">
        <f t="shared" si="9"/>
        <v>0</v>
      </c>
      <c r="H68" s="80" t="e">
        <f>(G68-VLOOKUP(G68,TABLAS!$A$7:$D$17,1))*VLOOKUP(G68,TABLAS!$A$7:$D$17,4)+VLOOKUP(G68,TABLAS!$A$7:$D$17,3)</f>
        <v>#N/A</v>
      </c>
      <c r="I68" s="79">
        <f t="shared" si="10"/>
        <v>516.60629119999999</v>
      </c>
      <c r="J68" s="79">
        <v>0</v>
      </c>
      <c r="K68" s="79" t="e">
        <f t="shared" si="11"/>
        <v>#N/A</v>
      </c>
      <c r="L68" s="81" t="e">
        <f t="shared" si="12"/>
        <v>#N/A</v>
      </c>
      <c r="M68" s="80" t="e">
        <f t="shared" si="13"/>
        <v>#N/A</v>
      </c>
      <c r="N68" s="79">
        <f>IMSS!AK150</f>
        <v>0</v>
      </c>
      <c r="O68" s="22">
        <f t="shared" si="0"/>
        <v>0</v>
      </c>
      <c r="P68" s="35">
        <f t="shared" si="1"/>
        <v>0</v>
      </c>
      <c r="Q68" s="73">
        <f t="shared" si="2"/>
        <v>472.56</v>
      </c>
      <c r="R68" s="23"/>
    </row>
    <row r="69" spans="1:18" ht="12.5" customHeight="1" x14ac:dyDescent="0.25">
      <c r="A69" s="24">
        <f t="shared" si="3"/>
        <v>63</v>
      </c>
      <c r="B69" s="163" t="s">
        <v>168</v>
      </c>
      <c r="C69" s="164" t="s">
        <v>250</v>
      </c>
      <c r="D69" s="165"/>
      <c r="E69" s="135">
        <v>30</v>
      </c>
      <c r="F69" s="162"/>
      <c r="G69" s="79">
        <f t="shared" si="9"/>
        <v>0</v>
      </c>
      <c r="H69" s="80" t="e">
        <f>(G69-VLOOKUP(G69,TABLAS!$A$7:$D$17,1))*VLOOKUP(G69,TABLAS!$A$7:$D$17,4)+VLOOKUP(G69,TABLAS!$A$7:$D$17,3)</f>
        <v>#N/A</v>
      </c>
      <c r="I69" s="79">
        <f t="shared" si="10"/>
        <v>516.60629119999999</v>
      </c>
      <c r="J69" s="79">
        <v>0</v>
      </c>
      <c r="K69" s="79" t="e">
        <f t="shared" si="11"/>
        <v>#N/A</v>
      </c>
      <c r="L69" s="81" t="e">
        <f t="shared" si="12"/>
        <v>#N/A</v>
      </c>
      <c r="M69" s="80" t="e">
        <f t="shared" si="13"/>
        <v>#N/A</v>
      </c>
      <c r="N69" s="79">
        <f>IMSS!AK151</f>
        <v>0</v>
      </c>
      <c r="O69" s="22">
        <f t="shared" si="0"/>
        <v>0</v>
      </c>
      <c r="P69" s="35">
        <f t="shared" si="1"/>
        <v>0</v>
      </c>
      <c r="Q69" s="73">
        <f t="shared" si="2"/>
        <v>472.56</v>
      </c>
      <c r="R69" s="23"/>
    </row>
    <row r="70" spans="1:18" ht="12.5" customHeight="1" x14ac:dyDescent="0.25">
      <c r="A70" s="24">
        <f t="shared" si="3"/>
        <v>64</v>
      </c>
      <c r="B70" s="163" t="s">
        <v>169</v>
      </c>
      <c r="C70" s="164" t="s">
        <v>251</v>
      </c>
      <c r="D70" s="165"/>
      <c r="E70" s="135">
        <v>30</v>
      </c>
      <c r="F70" s="162"/>
      <c r="G70" s="79">
        <f t="shared" si="9"/>
        <v>0</v>
      </c>
      <c r="H70" s="80" t="e">
        <f>(G70-VLOOKUP(G70,TABLAS!$A$7:$D$17,1))*VLOOKUP(G70,TABLAS!$A$7:$D$17,4)+VLOOKUP(G70,TABLAS!$A$7:$D$17,3)</f>
        <v>#N/A</v>
      </c>
      <c r="I70" s="79">
        <f t="shared" si="10"/>
        <v>516.60629119999999</v>
      </c>
      <c r="J70" s="79">
        <v>0</v>
      </c>
      <c r="K70" s="79" t="e">
        <f t="shared" si="11"/>
        <v>#N/A</v>
      </c>
      <c r="L70" s="81" t="e">
        <f t="shared" si="12"/>
        <v>#N/A</v>
      </c>
      <c r="M70" s="80" t="e">
        <f t="shared" si="13"/>
        <v>#N/A</v>
      </c>
      <c r="N70" s="79">
        <f>IMSS!AK152</f>
        <v>0</v>
      </c>
      <c r="O70" s="22">
        <f t="shared" si="0"/>
        <v>0</v>
      </c>
      <c r="P70" s="35">
        <f t="shared" si="1"/>
        <v>0</v>
      </c>
      <c r="Q70" s="73">
        <f t="shared" si="2"/>
        <v>472.56</v>
      </c>
      <c r="R70" s="23"/>
    </row>
    <row r="71" spans="1:18" ht="12.5" customHeight="1" x14ac:dyDescent="0.25">
      <c r="A71" s="24">
        <f t="shared" si="3"/>
        <v>65</v>
      </c>
      <c r="B71" s="163" t="s">
        <v>170</v>
      </c>
      <c r="C71" s="164" t="s">
        <v>252</v>
      </c>
      <c r="D71" s="165"/>
      <c r="E71" s="135">
        <v>30</v>
      </c>
      <c r="F71" s="162"/>
      <c r="G71" s="79">
        <f t="shared" si="9"/>
        <v>0</v>
      </c>
      <c r="H71" s="80" t="e">
        <f>(G71-VLOOKUP(G71,TABLAS!$A$7:$D$17,1))*VLOOKUP(G71,TABLAS!$A$7:$D$17,4)+VLOOKUP(G71,TABLAS!$A$7:$D$17,3)</f>
        <v>#N/A</v>
      </c>
      <c r="I71" s="79">
        <f t="shared" si="10"/>
        <v>516.60629119999999</v>
      </c>
      <c r="J71" s="79">
        <v>0</v>
      </c>
      <c r="K71" s="79" t="e">
        <f t="shared" si="11"/>
        <v>#N/A</v>
      </c>
      <c r="L71" s="81" t="e">
        <f t="shared" si="12"/>
        <v>#N/A</v>
      </c>
      <c r="M71" s="80" t="e">
        <f t="shared" si="13"/>
        <v>#N/A</v>
      </c>
      <c r="N71" s="79">
        <f>IMSS!AK153</f>
        <v>0</v>
      </c>
      <c r="O71" s="22">
        <f t="shared" si="0"/>
        <v>0</v>
      </c>
      <c r="P71" s="35">
        <f t="shared" si="1"/>
        <v>0</v>
      </c>
      <c r="Q71" s="73">
        <f t="shared" si="2"/>
        <v>472.56</v>
      </c>
      <c r="R71" s="23"/>
    </row>
    <row r="72" spans="1:18" ht="12.5" customHeight="1" x14ac:dyDescent="0.25">
      <c r="A72" s="24">
        <f t="shared" si="3"/>
        <v>66</v>
      </c>
      <c r="B72" s="163" t="s">
        <v>171</v>
      </c>
      <c r="C72" s="164" t="s">
        <v>253</v>
      </c>
      <c r="D72" s="165"/>
      <c r="E72" s="135">
        <v>30</v>
      </c>
      <c r="F72" s="162"/>
      <c r="G72" s="79">
        <f t="shared" si="9"/>
        <v>0</v>
      </c>
      <c r="H72" s="80" t="e">
        <f>(G72-VLOOKUP(G72,TABLAS!$A$7:$D$17,1))*VLOOKUP(G72,TABLAS!$A$7:$D$17,4)+VLOOKUP(G72,TABLAS!$A$7:$D$17,3)</f>
        <v>#N/A</v>
      </c>
      <c r="I72" s="79">
        <f t="shared" si="10"/>
        <v>516.60629119999999</v>
      </c>
      <c r="J72" s="79">
        <v>0</v>
      </c>
      <c r="K72" s="79" t="e">
        <f t="shared" si="11"/>
        <v>#N/A</v>
      </c>
      <c r="L72" s="81" t="e">
        <f t="shared" si="12"/>
        <v>#N/A</v>
      </c>
      <c r="M72" s="80" t="e">
        <f t="shared" si="13"/>
        <v>#N/A</v>
      </c>
      <c r="N72" s="79">
        <f>IMSS!AK154</f>
        <v>0</v>
      </c>
      <c r="O72" s="22">
        <f t="shared" ref="O72:O104" si="14">D72*40%</f>
        <v>0</v>
      </c>
      <c r="P72" s="35">
        <f t="shared" ref="P72:P104" si="15">O72/30</f>
        <v>0</v>
      </c>
      <c r="Q72" s="73">
        <f t="shared" ref="Q72:Q104" si="16">IF(P72&lt;472.56,472.56,P72)</f>
        <v>472.56</v>
      </c>
      <c r="R72" s="23"/>
    </row>
    <row r="73" spans="1:18" ht="12.5" customHeight="1" x14ac:dyDescent="0.25">
      <c r="A73" s="24">
        <f t="shared" ref="A73:A104" si="17">A72+1</f>
        <v>67</v>
      </c>
      <c r="B73" s="163" t="s">
        <v>172</v>
      </c>
      <c r="C73" s="164" t="s">
        <v>254</v>
      </c>
      <c r="D73" s="165"/>
      <c r="E73" s="135">
        <v>30</v>
      </c>
      <c r="F73" s="162"/>
      <c r="G73" s="79">
        <f t="shared" si="9"/>
        <v>0</v>
      </c>
      <c r="H73" s="80" t="e">
        <f>(G73-VLOOKUP(G73,TABLAS!$A$7:$D$17,1))*VLOOKUP(G73,TABLAS!$A$7:$D$17,4)+VLOOKUP(G73,TABLAS!$A$7:$D$17,3)</f>
        <v>#N/A</v>
      </c>
      <c r="I73" s="79">
        <f t="shared" si="10"/>
        <v>516.60629119999999</v>
      </c>
      <c r="J73" s="79">
        <v>0</v>
      </c>
      <c r="K73" s="79" t="e">
        <f t="shared" si="11"/>
        <v>#N/A</v>
      </c>
      <c r="L73" s="81" t="e">
        <f t="shared" si="12"/>
        <v>#N/A</v>
      </c>
      <c r="M73" s="80" t="e">
        <f t="shared" si="13"/>
        <v>#N/A</v>
      </c>
      <c r="N73" s="79">
        <f>IMSS!AK155</f>
        <v>0</v>
      </c>
      <c r="O73" s="22">
        <f t="shared" si="14"/>
        <v>0</v>
      </c>
      <c r="P73" s="35">
        <f t="shared" si="15"/>
        <v>0</v>
      </c>
      <c r="Q73" s="73">
        <f t="shared" si="16"/>
        <v>472.56</v>
      </c>
      <c r="R73" s="23"/>
    </row>
    <row r="74" spans="1:18" ht="12.5" customHeight="1" x14ac:dyDescent="0.25">
      <c r="A74" s="24">
        <f t="shared" si="17"/>
        <v>68</v>
      </c>
      <c r="B74" s="163" t="s">
        <v>173</v>
      </c>
      <c r="C74" s="164" t="s">
        <v>255</v>
      </c>
      <c r="D74" s="165"/>
      <c r="E74" s="135">
        <v>30</v>
      </c>
      <c r="F74" s="162"/>
      <c r="G74" s="79">
        <f t="shared" si="9"/>
        <v>0</v>
      </c>
      <c r="H74" s="80" t="e">
        <f>(G74-VLOOKUP(G74,TABLAS!$A$7:$D$17,1))*VLOOKUP(G74,TABLAS!$A$7:$D$17,4)+VLOOKUP(G74,TABLAS!$A$7:$D$17,3)</f>
        <v>#N/A</v>
      </c>
      <c r="I74" s="79">
        <f t="shared" si="10"/>
        <v>516.60629119999999</v>
      </c>
      <c r="J74" s="79">
        <v>0</v>
      </c>
      <c r="K74" s="79" t="e">
        <f t="shared" si="11"/>
        <v>#N/A</v>
      </c>
      <c r="L74" s="81" t="e">
        <f t="shared" si="12"/>
        <v>#N/A</v>
      </c>
      <c r="M74" s="80" t="e">
        <f t="shared" si="13"/>
        <v>#N/A</v>
      </c>
      <c r="N74" s="79">
        <f>IMSS!AK156</f>
        <v>0</v>
      </c>
      <c r="O74" s="22">
        <f t="shared" si="14"/>
        <v>0</v>
      </c>
      <c r="P74" s="35">
        <f t="shared" si="15"/>
        <v>0</v>
      </c>
      <c r="Q74" s="73">
        <f t="shared" si="16"/>
        <v>472.56</v>
      </c>
      <c r="R74" s="23"/>
    </row>
    <row r="75" spans="1:18" ht="12.5" customHeight="1" x14ac:dyDescent="0.25">
      <c r="A75" s="24">
        <f t="shared" si="17"/>
        <v>69</v>
      </c>
      <c r="B75" s="163" t="s">
        <v>174</v>
      </c>
      <c r="C75" s="164" t="s">
        <v>256</v>
      </c>
      <c r="D75" s="165"/>
      <c r="E75" s="135">
        <v>30</v>
      </c>
      <c r="F75" s="162"/>
      <c r="G75" s="79">
        <f t="shared" si="9"/>
        <v>0</v>
      </c>
      <c r="H75" s="80" t="e">
        <f>(G75-VLOOKUP(G75,TABLAS!$A$7:$D$17,1))*VLOOKUP(G75,TABLAS!$A$7:$D$17,4)+VLOOKUP(G75,TABLAS!$A$7:$D$17,3)</f>
        <v>#N/A</v>
      </c>
      <c r="I75" s="79">
        <f t="shared" si="10"/>
        <v>516.60629119999999</v>
      </c>
      <c r="J75" s="79">
        <v>0</v>
      </c>
      <c r="K75" s="79" t="e">
        <f t="shared" si="11"/>
        <v>#N/A</v>
      </c>
      <c r="L75" s="81" t="e">
        <f t="shared" si="12"/>
        <v>#N/A</v>
      </c>
      <c r="M75" s="80" t="e">
        <f t="shared" si="13"/>
        <v>#N/A</v>
      </c>
      <c r="N75" s="79">
        <f>IMSS!AK157</f>
        <v>0</v>
      </c>
      <c r="O75" s="22">
        <f t="shared" si="14"/>
        <v>0</v>
      </c>
      <c r="P75" s="35">
        <f t="shared" si="15"/>
        <v>0</v>
      </c>
      <c r="Q75" s="73">
        <f t="shared" si="16"/>
        <v>472.56</v>
      </c>
      <c r="R75" s="23"/>
    </row>
    <row r="76" spans="1:18" ht="12.5" customHeight="1" x14ac:dyDescent="0.25">
      <c r="A76" s="24">
        <f t="shared" si="17"/>
        <v>70</v>
      </c>
      <c r="B76" s="163" t="s">
        <v>175</v>
      </c>
      <c r="C76" s="164" t="s">
        <v>257</v>
      </c>
      <c r="D76" s="165"/>
      <c r="E76" s="135">
        <v>30</v>
      </c>
      <c r="F76" s="162"/>
      <c r="G76" s="79">
        <f t="shared" si="9"/>
        <v>0</v>
      </c>
      <c r="H76" s="80" t="e">
        <f>(G76-VLOOKUP(G76,TABLAS!$A$7:$D$17,1))*VLOOKUP(G76,TABLAS!$A$7:$D$17,4)+VLOOKUP(G76,TABLAS!$A$7:$D$17,3)</f>
        <v>#N/A</v>
      </c>
      <c r="I76" s="79">
        <f t="shared" si="10"/>
        <v>516.60629119999999</v>
      </c>
      <c r="J76" s="79">
        <v>0</v>
      </c>
      <c r="K76" s="79" t="e">
        <f t="shared" si="11"/>
        <v>#N/A</v>
      </c>
      <c r="L76" s="81" t="e">
        <f t="shared" si="12"/>
        <v>#N/A</v>
      </c>
      <c r="M76" s="80" t="e">
        <f t="shared" si="13"/>
        <v>#N/A</v>
      </c>
      <c r="N76" s="79">
        <f>IMSS!AK158</f>
        <v>0</v>
      </c>
      <c r="O76" s="22">
        <f t="shared" si="14"/>
        <v>0</v>
      </c>
      <c r="P76" s="35">
        <f t="shared" si="15"/>
        <v>0</v>
      </c>
      <c r="Q76" s="73">
        <f t="shared" si="16"/>
        <v>472.56</v>
      </c>
      <c r="R76" s="23"/>
    </row>
    <row r="77" spans="1:18" ht="12.5" customHeight="1" x14ac:dyDescent="0.25">
      <c r="A77" s="24">
        <f t="shared" si="17"/>
        <v>71</v>
      </c>
      <c r="B77" s="163" t="s">
        <v>176</v>
      </c>
      <c r="C77" s="164" t="s">
        <v>258</v>
      </c>
      <c r="D77" s="165"/>
      <c r="E77" s="135">
        <v>30</v>
      </c>
      <c r="F77" s="162"/>
      <c r="G77" s="79">
        <f t="shared" si="9"/>
        <v>0</v>
      </c>
      <c r="H77" s="80" t="e">
        <f>(G77-VLOOKUP(G77,TABLAS!$A$7:$D$17,1))*VLOOKUP(G77,TABLAS!$A$7:$D$17,4)+VLOOKUP(G77,TABLAS!$A$7:$D$17,3)</f>
        <v>#N/A</v>
      </c>
      <c r="I77" s="79">
        <f t="shared" si="10"/>
        <v>516.60629119999999</v>
      </c>
      <c r="J77" s="79">
        <v>0</v>
      </c>
      <c r="K77" s="79" t="e">
        <f t="shared" si="11"/>
        <v>#N/A</v>
      </c>
      <c r="L77" s="81" t="e">
        <f t="shared" si="12"/>
        <v>#N/A</v>
      </c>
      <c r="M77" s="80" t="e">
        <f t="shared" si="13"/>
        <v>#N/A</v>
      </c>
      <c r="N77" s="79">
        <f>IMSS!AK159</f>
        <v>0</v>
      </c>
      <c r="O77" s="22">
        <f t="shared" si="14"/>
        <v>0</v>
      </c>
      <c r="P77" s="35">
        <f t="shared" si="15"/>
        <v>0</v>
      </c>
      <c r="Q77" s="73">
        <f t="shared" si="16"/>
        <v>472.56</v>
      </c>
      <c r="R77" s="23"/>
    </row>
    <row r="78" spans="1:18" ht="12.5" customHeight="1" x14ac:dyDescent="0.25">
      <c r="A78" s="24">
        <f t="shared" si="17"/>
        <v>72</v>
      </c>
      <c r="B78" s="163" t="s">
        <v>177</v>
      </c>
      <c r="C78" s="164" t="s">
        <v>259</v>
      </c>
      <c r="D78" s="165"/>
      <c r="E78" s="135">
        <v>30</v>
      </c>
      <c r="F78" s="162"/>
      <c r="G78" s="79">
        <f t="shared" si="9"/>
        <v>0</v>
      </c>
      <c r="H78" s="80" t="e">
        <f>(G78-VLOOKUP(G78,TABLAS!$A$7:$D$17,1))*VLOOKUP(G78,TABLAS!$A$7:$D$17,4)+VLOOKUP(G78,TABLAS!$A$7:$D$17,3)</f>
        <v>#N/A</v>
      </c>
      <c r="I78" s="79">
        <f t="shared" si="10"/>
        <v>516.60629119999999</v>
      </c>
      <c r="J78" s="79">
        <v>0</v>
      </c>
      <c r="K78" s="79" t="e">
        <f t="shared" si="11"/>
        <v>#N/A</v>
      </c>
      <c r="L78" s="81" t="e">
        <f t="shared" si="12"/>
        <v>#N/A</v>
      </c>
      <c r="M78" s="80" t="e">
        <f t="shared" si="13"/>
        <v>#N/A</v>
      </c>
      <c r="N78" s="79">
        <f>IMSS!AK160</f>
        <v>0</v>
      </c>
      <c r="O78" s="22">
        <f t="shared" si="14"/>
        <v>0</v>
      </c>
      <c r="P78" s="35">
        <f t="shared" si="15"/>
        <v>0</v>
      </c>
      <c r="Q78" s="73">
        <f t="shared" si="16"/>
        <v>472.56</v>
      </c>
      <c r="R78" s="23"/>
    </row>
    <row r="79" spans="1:18" ht="12.5" customHeight="1" x14ac:dyDescent="0.25">
      <c r="A79" s="24">
        <f t="shared" si="17"/>
        <v>73</v>
      </c>
      <c r="B79" s="163" t="s">
        <v>178</v>
      </c>
      <c r="C79" s="164" t="s">
        <v>260</v>
      </c>
      <c r="D79" s="165"/>
      <c r="E79" s="135">
        <v>30</v>
      </c>
      <c r="F79" s="162"/>
      <c r="G79" s="79">
        <f t="shared" si="9"/>
        <v>0</v>
      </c>
      <c r="H79" s="80" t="e">
        <f>(G79-VLOOKUP(G79,TABLAS!$A$7:$D$17,1))*VLOOKUP(G79,TABLAS!$A$7:$D$17,4)+VLOOKUP(G79,TABLAS!$A$7:$D$17,3)</f>
        <v>#N/A</v>
      </c>
      <c r="I79" s="79">
        <f t="shared" si="10"/>
        <v>516.60629119999999</v>
      </c>
      <c r="J79" s="79">
        <v>0</v>
      </c>
      <c r="K79" s="79" t="e">
        <f t="shared" si="11"/>
        <v>#N/A</v>
      </c>
      <c r="L79" s="81" t="e">
        <f t="shared" si="12"/>
        <v>#N/A</v>
      </c>
      <c r="M79" s="80" t="e">
        <f t="shared" si="13"/>
        <v>#N/A</v>
      </c>
      <c r="N79" s="79">
        <f>IMSS!AK161</f>
        <v>0</v>
      </c>
      <c r="O79" s="22">
        <f t="shared" si="14"/>
        <v>0</v>
      </c>
      <c r="P79" s="35">
        <f t="shared" si="15"/>
        <v>0</v>
      </c>
      <c r="Q79" s="73">
        <f t="shared" si="16"/>
        <v>472.56</v>
      </c>
      <c r="R79" s="23"/>
    </row>
    <row r="80" spans="1:18" ht="12.5" customHeight="1" x14ac:dyDescent="0.25">
      <c r="A80" s="24">
        <f t="shared" si="17"/>
        <v>74</v>
      </c>
      <c r="B80" s="163" t="s">
        <v>179</v>
      </c>
      <c r="C80" s="164" t="s">
        <v>261</v>
      </c>
      <c r="D80" s="165"/>
      <c r="E80" s="135">
        <v>30</v>
      </c>
      <c r="F80" s="162"/>
      <c r="G80" s="79">
        <f t="shared" si="9"/>
        <v>0</v>
      </c>
      <c r="H80" s="80" t="e">
        <f>(G80-VLOOKUP(G80,TABLAS!$A$7:$D$17,1))*VLOOKUP(G80,TABLAS!$A$7:$D$17,4)+VLOOKUP(G80,TABLAS!$A$7:$D$17,3)</f>
        <v>#N/A</v>
      </c>
      <c r="I80" s="79">
        <f t="shared" si="10"/>
        <v>516.60629119999999</v>
      </c>
      <c r="J80" s="79">
        <v>0</v>
      </c>
      <c r="K80" s="79" t="e">
        <f t="shared" si="11"/>
        <v>#N/A</v>
      </c>
      <c r="L80" s="81" t="e">
        <f t="shared" si="12"/>
        <v>#N/A</v>
      </c>
      <c r="M80" s="80" t="e">
        <f t="shared" si="13"/>
        <v>#N/A</v>
      </c>
      <c r="N80" s="79">
        <f>IMSS!AK162</f>
        <v>0</v>
      </c>
      <c r="O80" s="22">
        <f t="shared" si="14"/>
        <v>0</v>
      </c>
      <c r="P80" s="35">
        <f t="shared" si="15"/>
        <v>0</v>
      </c>
      <c r="Q80" s="73">
        <f t="shared" si="16"/>
        <v>472.56</v>
      </c>
      <c r="R80" s="23"/>
    </row>
    <row r="81" spans="1:18" ht="12.5" customHeight="1" x14ac:dyDescent="0.25">
      <c r="A81" s="24">
        <f t="shared" si="17"/>
        <v>75</v>
      </c>
      <c r="B81" s="163" t="s">
        <v>180</v>
      </c>
      <c r="C81" s="164" t="s">
        <v>262</v>
      </c>
      <c r="D81" s="165"/>
      <c r="E81" s="135">
        <v>30</v>
      </c>
      <c r="F81" s="162"/>
      <c r="G81" s="79">
        <f t="shared" si="9"/>
        <v>0</v>
      </c>
      <c r="H81" s="80" t="e">
        <f>(G81-VLOOKUP(G81,TABLAS!$A$7:$D$17,1))*VLOOKUP(G81,TABLAS!$A$7:$D$17,4)+VLOOKUP(G81,TABLAS!$A$7:$D$17,3)</f>
        <v>#N/A</v>
      </c>
      <c r="I81" s="79">
        <f t="shared" si="10"/>
        <v>516.60629119999999</v>
      </c>
      <c r="J81" s="79">
        <v>0</v>
      </c>
      <c r="K81" s="79" t="e">
        <f t="shared" si="11"/>
        <v>#N/A</v>
      </c>
      <c r="L81" s="81" t="e">
        <f t="shared" si="12"/>
        <v>#N/A</v>
      </c>
      <c r="M81" s="80" t="e">
        <f t="shared" si="13"/>
        <v>#N/A</v>
      </c>
      <c r="N81" s="79">
        <f>IMSS!AK163</f>
        <v>0</v>
      </c>
      <c r="O81" s="22">
        <f t="shared" si="14"/>
        <v>0</v>
      </c>
      <c r="P81" s="35">
        <f t="shared" si="15"/>
        <v>0</v>
      </c>
      <c r="Q81" s="73">
        <f t="shared" si="16"/>
        <v>472.56</v>
      </c>
      <c r="R81" s="23"/>
    </row>
    <row r="82" spans="1:18" ht="12.5" customHeight="1" x14ac:dyDescent="0.25">
      <c r="A82" s="24">
        <f t="shared" si="17"/>
        <v>76</v>
      </c>
      <c r="B82" s="163" t="s">
        <v>181</v>
      </c>
      <c r="C82" s="164" t="s">
        <v>263</v>
      </c>
      <c r="D82" s="165"/>
      <c r="E82" s="135">
        <v>30</v>
      </c>
      <c r="F82" s="162"/>
      <c r="G82" s="79">
        <f t="shared" si="9"/>
        <v>0</v>
      </c>
      <c r="H82" s="80" t="e">
        <f>(G82-VLOOKUP(G82,TABLAS!$A$7:$D$17,1))*VLOOKUP(G82,TABLAS!$A$7:$D$17,4)+VLOOKUP(G82,TABLAS!$A$7:$D$17,3)</f>
        <v>#N/A</v>
      </c>
      <c r="I82" s="79">
        <f t="shared" si="10"/>
        <v>516.60629119999999</v>
      </c>
      <c r="J82" s="79">
        <v>0</v>
      </c>
      <c r="K82" s="79" t="e">
        <f t="shared" si="11"/>
        <v>#N/A</v>
      </c>
      <c r="L82" s="81" t="e">
        <f t="shared" si="12"/>
        <v>#N/A</v>
      </c>
      <c r="M82" s="80" t="e">
        <f t="shared" si="13"/>
        <v>#N/A</v>
      </c>
      <c r="N82" s="79">
        <f>IMSS!AK164</f>
        <v>0</v>
      </c>
      <c r="O82" s="22">
        <f t="shared" si="14"/>
        <v>0</v>
      </c>
      <c r="P82" s="35">
        <f t="shared" si="15"/>
        <v>0</v>
      </c>
      <c r="Q82" s="73">
        <f t="shared" si="16"/>
        <v>472.56</v>
      </c>
      <c r="R82" s="23"/>
    </row>
    <row r="83" spans="1:18" ht="12.5" customHeight="1" x14ac:dyDescent="0.25">
      <c r="A83" s="24">
        <f t="shared" si="17"/>
        <v>77</v>
      </c>
      <c r="B83" s="163" t="s">
        <v>182</v>
      </c>
      <c r="C83" s="164" t="s">
        <v>264</v>
      </c>
      <c r="D83" s="165"/>
      <c r="E83" s="135">
        <v>30</v>
      </c>
      <c r="F83" s="162"/>
      <c r="G83" s="79">
        <f t="shared" si="9"/>
        <v>0</v>
      </c>
      <c r="H83" s="80" t="e">
        <f>(G83-VLOOKUP(G83,TABLAS!$A$7:$D$17,1))*VLOOKUP(G83,TABLAS!$A$7:$D$17,4)+VLOOKUP(G83,TABLAS!$A$7:$D$17,3)</f>
        <v>#N/A</v>
      </c>
      <c r="I83" s="79">
        <f t="shared" si="10"/>
        <v>516.60629119999999</v>
      </c>
      <c r="J83" s="79">
        <v>0</v>
      </c>
      <c r="K83" s="79" t="e">
        <f t="shared" si="11"/>
        <v>#N/A</v>
      </c>
      <c r="L83" s="81" t="e">
        <f t="shared" si="12"/>
        <v>#N/A</v>
      </c>
      <c r="M83" s="80" t="e">
        <f t="shared" si="13"/>
        <v>#N/A</v>
      </c>
      <c r="N83" s="79">
        <f>IMSS!AK165</f>
        <v>0</v>
      </c>
      <c r="O83" s="22">
        <f t="shared" si="14"/>
        <v>0</v>
      </c>
      <c r="P83" s="35">
        <f t="shared" si="15"/>
        <v>0</v>
      </c>
      <c r="Q83" s="73">
        <f t="shared" si="16"/>
        <v>472.56</v>
      </c>
      <c r="R83" s="23"/>
    </row>
    <row r="84" spans="1:18" ht="12.5" customHeight="1" x14ac:dyDescent="0.25">
      <c r="A84" s="24">
        <f t="shared" si="17"/>
        <v>78</v>
      </c>
      <c r="B84" s="163" t="s">
        <v>183</v>
      </c>
      <c r="C84" s="164" t="s">
        <v>265</v>
      </c>
      <c r="D84" s="165"/>
      <c r="E84" s="135">
        <v>30</v>
      </c>
      <c r="F84" s="162"/>
      <c r="G84" s="79">
        <f t="shared" si="9"/>
        <v>0</v>
      </c>
      <c r="H84" s="80" t="e">
        <f>(G84-VLOOKUP(G84,TABLAS!$A$7:$D$17,1))*VLOOKUP(G84,TABLAS!$A$7:$D$17,4)+VLOOKUP(G84,TABLAS!$A$7:$D$17,3)</f>
        <v>#N/A</v>
      </c>
      <c r="I84" s="79">
        <f t="shared" si="10"/>
        <v>516.60629119999999</v>
      </c>
      <c r="J84" s="79">
        <v>0</v>
      </c>
      <c r="K84" s="79" t="e">
        <f t="shared" si="11"/>
        <v>#N/A</v>
      </c>
      <c r="L84" s="81" t="e">
        <f t="shared" si="12"/>
        <v>#N/A</v>
      </c>
      <c r="M84" s="80" t="e">
        <f t="shared" si="13"/>
        <v>#N/A</v>
      </c>
      <c r="N84" s="79">
        <f>IMSS!AK166</f>
        <v>0</v>
      </c>
      <c r="O84" s="22">
        <f t="shared" si="14"/>
        <v>0</v>
      </c>
      <c r="P84" s="35">
        <f t="shared" si="15"/>
        <v>0</v>
      </c>
      <c r="Q84" s="73">
        <f t="shared" si="16"/>
        <v>472.56</v>
      </c>
      <c r="R84" s="23"/>
    </row>
    <row r="85" spans="1:18" ht="12.5" customHeight="1" x14ac:dyDescent="0.25">
      <c r="A85" s="24">
        <f t="shared" si="17"/>
        <v>79</v>
      </c>
      <c r="B85" s="163" t="s">
        <v>184</v>
      </c>
      <c r="C85" s="164" t="s">
        <v>266</v>
      </c>
      <c r="D85" s="165"/>
      <c r="E85" s="135">
        <v>30</v>
      </c>
      <c r="F85" s="162"/>
      <c r="G85" s="79">
        <f t="shared" si="9"/>
        <v>0</v>
      </c>
      <c r="H85" s="80" t="e">
        <f>(G85-VLOOKUP(G85,TABLAS!$A$7:$D$17,1))*VLOOKUP(G85,TABLAS!$A$7:$D$17,4)+VLOOKUP(G85,TABLAS!$A$7:$D$17,3)</f>
        <v>#N/A</v>
      </c>
      <c r="I85" s="79">
        <f t="shared" si="10"/>
        <v>516.60629119999999</v>
      </c>
      <c r="J85" s="79">
        <v>0</v>
      </c>
      <c r="K85" s="79" t="e">
        <f t="shared" si="11"/>
        <v>#N/A</v>
      </c>
      <c r="L85" s="81" t="e">
        <f t="shared" si="12"/>
        <v>#N/A</v>
      </c>
      <c r="M85" s="80" t="e">
        <f t="shared" si="13"/>
        <v>#N/A</v>
      </c>
      <c r="N85" s="79">
        <f>IMSS!AK167</f>
        <v>0</v>
      </c>
      <c r="O85" s="22">
        <f t="shared" si="14"/>
        <v>0</v>
      </c>
      <c r="P85" s="35">
        <f t="shared" si="15"/>
        <v>0</v>
      </c>
      <c r="Q85" s="73">
        <f t="shared" si="16"/>
        <v>472.56</v>
      </c>
      <c r="R85" s="23"/>
    </row>
    <row r="86" spans="1:18" ht="12.5" customHeight="1" x14ac:dyDescent="0.25">
      <c r="A86" s="24">
        <f t="shared" si="17"/>
        <v>80</v>
      </c>
      <c r="B86" s="163" t="s">
        <v>185</v>
      </c>
      <c r="C86" s="164" t="s">
        <v>267</v>
      </c>
      <c r="D86" s="165"/>
      <c r="E86" s="135">
        <v>30</v>
      </c>
      <c r="F86" s="162"/>
      <c r="G86" s="79">
        <f t="shared" si="9"/>
        <v>0</v>
      </c>
      <c r="H86" s="80" t="e">
        <f>(G86-VLOOKUP(G86,TABLAS!$A$7:$D$17,1))*VLOOKUP(G86,TABLAS!$A$7:$D$17,4)+VLOOKUP(G86,TABLAS!$A$7:$D$17,3)</f>
        <v>#N/A</v>
      </c>
      <c r="I86" s="79">
        <f t="shared" si="10"/>
        <v>516.60629119999999</v>
      </c>
      <c r="J86" s="79">
        <v>0</v>
      </c>
      <c r="K86" s="79" t="e">
        <f t="shared" si="11"/>
        <v>#N/A</v>
      </c>
      <c r="L86" s="81" t="e">
        <f t="shared" si="12"/>
        <v>#N/A</v>
      </c>
      <c r="M86" s="80" t="e">
        <f t="shared" si="13"/>
        <v>#N/A</v>
      </c>
      <c r="N86" s="79">
        <f>IMSS!AK168</f>
        <v>0</v>
      </c>
      <c r="O86" s="22">
        <f t="shared" si="14"/>
        <v>0</v>
      </c>
      <c r="P86" s="35">
        <f t="shared" si="15"/>
        <v>0</v>
      </c>
      <c r="Q86" s="73">
        <f t="shared" si="16"/>
        <v>472.56</v>
      </c>
      <c r="R86" s="23"/>
    </row>
    <row r="87" spans="1:18" ht="12.5" customHeight="1" x14ac:dyDescent="0.25">
      <c r="A87" s="24">
        <f t="shared" si="17"/>
        <v>81</v>
      </c>
      <c r="B87" s="163" t="s">
        <v>186</v>
      </c>
      <c r="C87" s="164" t="s">
        <v>268</v>
      </c>
      <c r="D87" s="165"/>
      <c r="E87" s="135">
        <v>30</v>
      </c>
      <c r="F87" s="162"/>
      <c r="G87" s="79">
        <f t="shared" ref="G87:G104" si="18">E87*F87</f>
        <v>0</v>
      </c>
      <c r="H87" s="80" t="e">
        <f>(G87-VLOOKUP(G87,TABLAS!$A$7:$D$17,1))*VLOOKUP(G87,TABLAS!$A$7:$D$17,4)+VLOOKUP(G87,TABLAS!$A$7:$D$17,3)</f>
        <v>#N/A</v>
      </c>
      <c r="I87" s="79">
        <f t="shared" ref="I87:I104" si="19">IF(G87&lt;=11492.66,(113.14*30.4)*15.02%,0)</f>
        <v>516.60629119999999</v>
      </c>
      <c r="J87" s="79">
        <v>0</v>
      </c>
      <c r="K87" s="79" t="e">
        <f t="shared" ref="K87:K104" si="20">+IF(H87&gt;I87,H87-I87,0)</f>
        <v>#N/A</v>
      </c>
      <c r="L87" s="81" t="e">
        <f t="shared" ref="L87:L104" si="21">+G87-K87</f>
        <v>#N/A</v>
      </c>
      <c r="M87" s="80" t="e">
        <f t="shared" ref="M87:M104" si="22">+IF(K87&gt;0,(D87-G87+K87),D87-L87)</f>
        <v>#N/A</v>
      </c>
      <c r="N87" s="79">
        <f>IMSS!AK169</f>
        <v>0</v>
      </c>
      <c r="O87" s="22">
        <f t="shared" si="14"/>
        <v>0</v>
      </c>
      <c r="P87" s="35">
        <f t="shared" si="15"/>
        <v>0</v>
      </c>
      <c r="Q87" s="73">
        <f t="shared" si="16"/>
        <v>472.56</v>
      </c>
      <c r="R87" s="23"/>
    </row>
    <row r="88" spans="1:18" ht="12.5" customHeight="1" x14ac:dyDescent="0.25">
      <c r="A88" s="24">
        <f t="shared" si="17"/>
        <v>82</v>
      </c>
      <c r="B88" s="163" t="s">
        <v>187</v>
      </c>
      <c r="C88" s="164" t="s">
        <v>269</v>
      </c>
      <c r="D88" s="165"/>
      <c r="E88" s="135">
        <v>30</v>
      </c>
      <c r="F88" s="162"/>
      <c r="G88" s="79">
        <f t="shared" si="18"/>
        <v>0</v>
      </c>
      <c r="H88" s="80" t="e">
        <f>(G88-VLOOKUP(G88,TABLAS!$A$7:$D$17,1))*VLOOKUP(G88,TABLAS!$A$7:$D$17,4)+VLOOKUP(G88,TABLAS!$A$7:$D$17,3)</f>
        <v>#N/A</v>
      </c>
      <c r="I88" s="79">
        <f t="shared" si="19"/>
        <v>516.60629119999999</v>
      </c>
      <c r="J88" s="79">
        <v>0</v>
      </c>
      <c r="K88" s="79" t="e">
        <f t="shared" si="20"/>
        <v>#N/A</v>
      </c>
      <c r="L88" s="81" t="e">
        <f t="shared" si="21"/>
        <v>#N/A</v>
      </c>
      <c r="M88" s="80" t="e">
        <f t="shared" si="22"/>
        <v>#N/A</v>
      </c>
      <c r="N88" s="79">
        <f>IMSS!AK170</f>
        <v>0</v>
      </c>
      <c r="O88" s="22">
        <f t="shared" si="14"/>
        <v>0</v>
      </c>
      <c r="P88" s="35">
        <f t="shared" si="15"/>
        <v>0</v>
      </c>
      <c r="Q88" s="73">
        <f t="shared" si="16"/>
        <v>472.56</v>
      </c>
      <c r="R88" s="23"/>
    </row>
    <row r="89" spans="1:18" ht="12.5" customHeight="1" x14ac:dyDescent="0.25">
      <c r="A89" s="24">
        <f t="shared" si="17"/>
        <v>83</v>
      </c>
      <c r="B89" s="163" t="s">
        <v>188</v>
      </c>
      <c r="C89" s="164" t="s">
        <v>270</v>
      </c>
      <c r="D89" s="165"/>
      <c r="E89" s="135">
        <v>30</v>
      </c>
      <c r="F89" s="162"/>
      <c r="G89" s="79">
        <f t="shared" si="18"/>
        <v>0</v>
      </c>
      <c r="H89" s="80" t="e">
        <f>(G89-VLOOKUP(G89,TABLAS!$A$7:$D$17,1))*VLOOKUP(G89,TABLAS!$A$7:$D$17,4)+VLOOKUP(G89,TABLAS!$A$7:$D$17,3)</f>
        <v>#N/A</v>
      </c>
      <c r="I89" s="79">
        <f t="shared" si="19"/>
        <v>516.60629119999999</v>
      </c>
      <c r="J89" s="79">
        <v>0</v>
      </c>
      <c r="K89" s="79" t="e">
        <f t="shared" si="20"/>
        <v>#N/A</v>
      </c>
      <c r="L89" s="81" t="e">
        <f t="shared" si="21"/>
        <v>#N/A</v>
      </c>
      <c r="M89" s="80" t="e">
        <f t="shared" si="22"/>
        <v>#N/A</v>
      </c>
      <c r="N89" s="79">
        <f>IMSS!AK171</f>
        <v>0</v>
      </c>
      <c r="O89" s="22">
        <f t="shared" si="14"/>
        <v>0</v>
      </c>
      <c r="P89" s="35">
        <f t="shared" si="15"/>
        <v>0</v>
      </c>
      <c r="Q89" s="73">
        <f t="shared" si="16"/>
        <v>472.56</v>
      </c>
      <c r="R89" s="23"/>
    </row>
    <row r="90" spans="1:18" ht="12.5" customHeight="1" x14ac:dyDescent="0.25">
      <c r="A90" s="24">
        <f t="shared" si="17"/>
        <v>84</v>
      </c>
      <c r="B90" s="163" t="s">
        <v>189</v>
      </c>
      <c r="C90" s="164" t="s">
        <v>271</v>
      </c>
      <c r="D90" s="165"/>
      <c r="E90" s="135">
        <v>30</v>
      </c>
      <c r="F90" s="162"/>
      <c r="G90" s="79">
        <f t="shared" si="18"/>
        <v>0</v>
      </c>
      <c r="H90" s="80" t="e">
        <f>(G90-VLOOKUP(G90,TABLAS!$A$7:$D$17,1))*VLOOKUP(G90,TABLAS!$A$7:$D$17,4)+VLOOKUP(G90,TABLAS!$A$7:$D$17,3)</f>
        <v>#N/A</v>
      </c>
      <c r="I90" s="79">
        <f t="shared" si="19"/>
        <v>516.60629119999999</v>
      </c>
      <c r="J90" s="79">
        <v>0</v>
      </c>
      <c r="K90" s="79" t="e">
        <f t="shared" si="20"/>
        <v>#N/A</v>
      </c>
      <c r="L90" s="81" t="e">
        <f t="shared" si="21"/>
        <v>#N/A</v>
      </c>
      <c r="M90" s="80" t="e">
        <f t="shared" si="22"/>
        <v>#N/A</v>
      </c>
      <c r="N90" s="79">
        <f>IMSS!AK172</f>
        <v>0</v>
      </c>
      <c r="O90" s="22">
        <f t="shared" si="14"/>
        <v>0</v>
      </c>
      <c r="P90" s="35">
        <f t="shared" si="15"/>
        <v>0</v>
      </c>
      <c r="Q90" s="73">
        <f t="shared" si="16"/>
        <v>472.56</v>
      </c>
      <c r="R90" s="23"/>
    </row>
    <row r="91" spans="1:18" ht="12.5" customHeight="1" x14ac:dyDescent="0.25">
      <c r="A91" s="24">
        <f t="shared" si="17"/>
        <v>85</v>
      </c>
      <c r="B91" s="163" t="s">
        <v>190</v>
      </c>
      <c r="C91" s="164" t="s">
        <v>272</v>
      </c>
      <c r="D91" s="165"/>
      <c r="E91" s="135">
        <v>30</v>
      </c>
      <c r="F91" s="162"/>
      <c r="G91" s="79">
        <f t="shared" si="18"/>
        <v>0</v>
      </c>
      <c r="H91" s="80" t="e">
        <f>(G91-VLOOKUP(G91,TABLAS!$A$7:$D$17,1))*VLOOKUP(G91,TABLAS!$A$7:$D$17,4)+VLOOKUP(G91,TABLAS!$A$7:$D$17,3)</f>
        <v>#N/A</v>
      </c>
      <c r="I91" s="79">
        <f t="shared" si="19"/>
        <v>516.60629119999999</v>
      </c>
      <c r="J91" s="79">
        <v>0</v>
      </c>
      <c r="K91" s="79" t="e">
        <f t="shared" si="20"/>
        <v>#N/A</v>
      </c>
      <c r="L91" s="81" t="e">
        <f t="shared" si="21"/>
        <v>#N/A</v>
      </c>
      <c r="M91" s="80" t="e">
        <f t="shared" si="22"/>
        <v>#N/A</v>
      </c>
      <c r="N91" s="79">
        <f>IMSS!AK173</f>
        <v>0</v>
      </c>
      <c r="O91" s="22">
        <f t="shared" si="14"/>
        <v>0</v>
      </c>
      <c r="P91" s="35">
        <f t="shared" si="15"/>
        <v>0</v>
      </c>
      <c r="Q91" s="73">
        <f t="shared" si="16"/>
        <v>472.56</v>
      </c>
      <c r="R91" s="23"/>
    </row>
    <row r="92" spans="1:18" ht="12.5" customHeight="1" x14ac:dyDescent="0.25">
      <c r="A92" s="24">
        <f t="shared" si="17"/>
        <v>86</v>
      </c>
      <c r="B92" s="163" t="s">
        <v>191</v>
      </c>
      <c r="C92" s="164" t="s">
        <v>273</v>
      </c>
      <c r="D92" s="165"/>
      <c r="E92" s="135">
        <v>30</v>
      </c>
      <c r="F92" s="162"/>
      <c r="G92" s="79">
        <f t="shared" si="18"/>
        <v>0</v>
      </c>
      <c r="H92" s="80" t="e">
        <f>(G92-VLOOKUP(G92,TABLAS!$A$7:$D$17,1))*VLOOKUP(G92,TABLAS!$A$7:$D$17,4)+VLOOKUP(G92,TABLAS!$A$7:$D$17,3)</f>
        <v>#N/A</v>
      </c>
      <c r="I92" s="79">
        <f t="shared" si="19"/>
        <v>516.60629119999999</v>
      </c>
      <c r="J92" s="79">
        <v>0</v>
      </c>
      <c r="K92" s="79" t="e">
        <f t="shared" si="20"/>
        <v>#N/A</v>
      </c>
      <c r="L92" s="81" t="e">
        <f t="shared" si="21"/>
        <v>#N/A</v>
      </c>
      <c r="M92" s="80" t="e">
        <f t="shared" si="22"/>
        <v>#N/A</v>
      </c>
      <c r="N92" s="79">
        <f>IMSS!AK174</f>
        <v>0</v>
      </c>
      <c r="O92" s="22">
        <f t="shared" si="14"/>
        <v>0</v>
      </c>
      <c r="P92" s="35">
        <f t="shared" si="15"/>
        <v>0</v>
      </c>
      <c r="Q92" s="73">
        <f t="shared" si="16"/>
        <v>472.56</v>
      </c>
      <c r="R92" s="23"/>
    </row>
    <row r="93" spans="1:18" ht="12.5" customHeight="1" x14ac:dyDescent="0.25">
      <c r="A93" s="24">
        <f t="shared" si="17"/>
        <v>87</v>
      </c>
      <c r="B93" s="163" t="s">
        <v>192</v>
      </c>
      <c r="C93" s="164" t="s">
        <v>274</v>
      </c>
      <c r="D93" s="165"/>
      <c r="E93" s="135">
        <v>30</v>
      </c>
      <c r="F93" s="162"/>
      <c r="G93" s="79">
        <f t="shared" si="18"/>
        <v>0</v>
      </c>
      <c r="H93" s="80" t="e">
        <f>(G93-VLOOKUP(G93,TABLAS!$A$7:$D$17,1))*VLOOKUP(G93,TABLAS!$A$7:$D$17,4)+VLOOKUP(G93,TABLAS!$A$7:$D$17,3)</f>
        <v>#N/A</v>
      </c>
      <c r="I93" s="79">
        <f t="shared" si="19"/>
        <v>516.60629119999999</v>
      </c>
      <c r="J93" s="79">
        <v>0</v>
      </c>
      <c r="K93" s="79" t="e">
        <f t="shared" si="20"/>
        <v>#N/A</v>
      </c>
      <c r="L93" s="81" t="e">
        <f t="shared" si="21"/>
        <v>#N/A</v>
      </c>
      <c r="M93" s="80" t="e">
        <f t="shared" si="22"/>
        <v>#N/A</v>
      </c>
      <c r="N93" s="79">
        <f>IMSS!AK175</f>
        <v>0</v>
      </c>
      <c r="O93" s="22">
        <f t="shared" si="14"/>
        <v>0</v>
      </c>
      <c r="P93" s="35">
        <f t="shared" si="15"/>
        <v>0</v>
      </c>
      <c r="Q93" s="73">
        <f t="shared" si="16"/>
        <v>472.56</v>
      </c>
      <c r="R93" s="23"/>
    </row>
    <row r="94" spans="1:18" ht="12.5" customHeight="1" x14ac:dyDescent="0.25">
      <c r="A94" s="24">
        <f t="shared" si="17"/>
        <v>88</v>
      </c>
      <c r="B94" s="163" t="s">
        <v>193</v>
      </c>
      <c r="C94" s="164" t="s">
        <v>275</v>
      </c>
      <c r="D94" s="165"/>
      <c r="E94" s="135">
        <v>30</v>
      </c>
      <c r="F94" s="162"/>
      <c r="G94" s="79">
        <f t="shared" si="18"/>
        <v>0</v>
      </c>
      <c r="H94" s="80" t="e">
        <f>(G94-VLOOKUP(G94,TABLAS!$A$7:$D$17,1))*VLOOKUP(G94,TABLAS!$A$7:$D$17,4)+VLOOKUP(G94,TABLAS!$A$7:$D$17,3)</f>
        <v>#N/A</v>
      </c>
      <c r="I94" s="79">
        <f t="shared" si="19"/>
        <v>516.60629119999999</v>
      </c>
      <c r="J94" s="79">
        <v>0</v>
      </c>
      <c r="K94" s="79" t="e">
        <f t="shared" si="20"/>
        <v>#N/A</v>
      </c>
      <c r="L94" s="81" t="e">
        <f t="shared" si="21"/>
        <v>#N/A</v>
      </c>
      <c r="M94" s="80" t="e">
        <f t="shared" si="22"/>
        <v>#N/A</v>
      </c>
      <c r="N94" s="79">
        <f>IMSS!AK176</f>
        <v>0</v>
      </c>
      <c r="O94" s="22">
        <f t="shared" si="14"/>
        <v>0</v>
      </c>
      <c r="P94" s="35">
        <f t="shared" si="15"/>
        <v>0</v>
      </c>
      <c r="Q94" s="73">
        <f t="shared" si="16"/>
        <v>472.56</v>
      </c>
      <c r="R94" s="23"/>
    </row>
    <row r="95" spans="1:18" ht="12.5" customHeight="1" x14ac:dyDescent="0.25">
      <c r="A95" s="24">
        <f t="shared" si="17"/>
        <v>89</v>
      </c>
      <c r="B95" s="163" t="s">
        <v>194</v>
      </c>
      <c r="C95" s="164" t="s">
        <v>276</v>
      </c>
      <c r="D95" s="165"/>
      <c r="E95" s="135">
        <v>30</v>
      </c>
      <c r="F95" s="162"/>
      <c r="G95" s="79">
        <f t="shared" si="18"/>
        <v>0</v>
      </c>
      <c r="H95" s="80" t="e">
        <f>(G95-VLOOKUP(G95,TABLAS!$A$7:$D$17,1))*VLOOKUP(G95,TABLAS!$A$7:$D$17,4)+VLOOKUP(G95,TABLAS!$A$7:$D$17,3)</f>
        <v>#N/A</v>
      </c>
      <c r="I95" s="79">
        <f t="shared" si="19"/>
        <v>516.60629119999999</v>
      </c>
      <c r="J95" s="79">
        <v>0</v>
      </c>
      <c r="K95" s="79" t="e">
        <f t="shared" si="20"/>
        <v>#N/A</v>
      </c>
      <c r="L95" s="81" t="e">
        <f t="shared" si="21"/>
        <v>#N/A</v>
      </c>
      <c r="M95" s="80" t="e">
        <f t="shared" si="22"/>
        <v>#N/A</v>
      </c>
      <c r="N95" s="79">
        <f>IMSS!AK177</f>
        <v>0</v>
      </c>
      <c r="O95" s="22">
        <f t="shared" si="14"/>
        <v>0</v>
      </c>
      <c r="P95" s="35">
        <f t="shared" si="15"/>
        <v>0</v>
      </c>
      <c r="Q95" s="73">
        <f t="shared" si="16"/>
        <v>472.56</v>
      </c>
      <c r="R95" s="23"/>
    </row>
    <row r="96" spans="1:18" ht="12.5" customHeight="1" x14ac:dyDescent="0.25">
      <c r="A96" s="24">
        <f t="shared" si="17"/>
        <v>90</v>
      </c>
      <c r="B96" s="163" t="s">
        <v>195</v>
      </c>
      <c r="C96" s="164" t="s">
        <v>277</v>
      </c>
      <c r="D96" s="165"/>
      <c r="E96" s="135">
        <v>30</v>
      </c>
      <c r="F96" s="162"/>
      <c r="G96" s="79">
        <f t="shared" si="18"/>
        <v>0</v>
      </c>
      <c r="H96" s="80" t="e">
        <f>(G96-VLOOKUP(G96,TABLAS!$A$7:$D$17,1))*VLOOKUP(G96,TABLAS!$A$7:$D$17,4)+VLOOKUP(G96,TABLAS!$A$7:$D$17,3)</f>
        <v>#N/A</v>
      </c>
      <c r="I96" s="79">
        <f t="shared" si="19"/>
        <v>516.60629119999999</v>
      </c>
      <c r="J96" s="79">
        <v>0</v>
      </c>
      <c r="K96" s="79" t="e">
        <f t="shared" si="20"/>
        <v>#N/A</v>
      </c>
      <c r="L96" s="81" t="e">
        <f t="shared" si="21"/>
        <v>#N/A</v>
      </c>
      <c r="M96" s="80" t="e">
        <f t="shared" si="22"/>
        <v>#N/A</v>
      </c>
      <c r="N96" s="79">
        <f>IMSS!AK178</f>
        <v>0</v>
      </c>
      <c r="O96" s="22">
        <f t="shared" si="14"/>
        <v>0</v>
      </c>
      <c r="P96" s="35">
        <f t="shared" si="15"/>
        <v>0</v>
      </c>
      <c r="Q96" s="73">
        <f t="shared" si="16"/>
        <v>472.56</v>
      </c>
      <c r="R96" s="23"/>
    </row>
    <row r="97" spans="1:18" ht="12.5" customHeight="1" x14ac:dyDescent="0.25">
      <c r="A97" s="24">
        <f t="shared" si="17"/>
        <v>91</v>
      </c>
      <c r="B97" s="163" t="s">
        <v>196</v>
      </c>
      <c r="C97" s="164" t="s">
        <v>278</v>
      </c>
      <c r="D97" s="165"/>
      <c r="E97" s="135">
        <v>30</v>
      </c>
      <c r="F97" s="162"/>
      <c r="G97" s="79">
        <f t="shared" si="18"/>
        <v>0</v>
      </c>
      <c r="H97" s="80" t="e">
        <f>(G97-VLOOKUP(G97,TABLAS!$A$7:$D$17,1))*VLOOKUP(G97,TABLAS!$A$7:$D$17,4)+VLOOKUP(G97,TABLAS!$A$7:$D$17,3)</f>
        <v>#N/A</v>
      </c>
      <c r="I97" s="79">
        <f t="shared" si="19"/>
        <v>516.60629119999999</v>
      </c>
      <c r="J97" s="79">
        <v>0</v>
      </c>
      <c r="K97" s="79" t="e">
        <f t="shared" si="20"/>
        <v>#N/A</v>
      </c>
      <c r="L97" s="81" t="e">
        <f t="shared" si="21"/>
        <v>#N/A</v>
      </c>
      <c r="M97" s="80" t="e">
        <f t="shared" si="22"/>
        <v>#N/A</v>
      </c>
      <c r="N97" s="79">
        <f>IMSS!AK179</f>
        <v>0</v>
      </c>
      <c r="O97" s="22">
        <f t="shared" si="14"/>
        <v>0</v>
      </c>
      <c r="P97" s="35">
        <f t="shared" si="15"/>
        <v>0</v>
      </c>
      <c r="Q97" s="73">
        <f t="shared" si="16"/>
        <v>472.56</v>
      </c>
      <c r="R97" s="23"/>
    </row>
    <row r="98" spans="1:18" ht="12.5" customHeight="1" x14ac:dyDescent="0.25">
      <c r="A98" s="24">
        <f t="shared" si="17"/>
        <v>92</v>
      </c>
      <c r="B98" s="163" t="s">
        <v>197</v>
      </c>
      <c r="C98" s="164" t="s">
        <v>279</v>
      </c>
      <c r="D98" s="165"/>
      <c r="E98" s="135">
        <v>30</v>
      </c>
      <c r="F98" s="162"/>
      <c r="G98" s="79">
        <f t="shared" si="18"/>
        <v>0</v>
      </c>
      <c r="H98" s="80" t="e">
        <f>(G98-VLOOKUP(G98,TABLAS!$A$7:$D$17,1))*VLOOKUP(G98,TABLAS!$A$7:$D$17,4)+VLOOKUP(G98,TABLAS!$A$7:$D$17,3)</f>
        <v>#N/A</v>
      </c>
      <c r="I98" s="79">
        <f t="shared" si="19"/>
        <v>516.60629119999999</v>
      </c>
      <c r="J98" s="79">
        <v>0</v>
      </c>
      <c r="K98" s="79" t="e">
        <f t="shared" si="20"/>
        <v>#N/A</v>
      </c>
      <c r="L98" s="81" t="e">
        <f t="shared" si="21"/>
        <v>#N/A</v>
      </c>
      <c r="M98" s="80" t="e">
        <f t="shared" si="22"/>
        <v>#N/A</v>
      </c>
      <c r="N98" s="79">
        <f>IMSS!AK180</f>
        <v>0</v>
      </c>
      <c r="O98" s="22">
        <f t="shared" si="14"/>
        <v>0</v>
      </c>
      <c r="P98" s="35">
        <f t="shared" si="15"/>
        <v>0</v>
      </c>
      <c r="Q98" s="73">
        <f t="shared" si="16"/>
        <v>472.56</v>
      </c>
      <c r="R98" s="23"/>
    </row>
    <row r="99" spans="1:18" ht="12.5" customHeight="1" x14ac:dyDescent="0.25">
      <c r="A99" s="24">
        <f t="shared" si="17"/>
        <v>93</v>
      </c>
      <c r="B99" s="163" t="s">
        <v>198</v>
      </c>
      <c r="C99" s="164" t="s">
        <v>280</v>
      </c>
      <c r="D99" s="165"/>
      <c r="E99" s="135">
        <v>30</v>
      </c>
      <c r="F99" s="162"/>
      <c r="G99" s="79">
        <f t="shared" si="18"/>
        <v>0</v>
      </c>
      <c r="H99" s="80" t="e">
        <f>(G99-VLOOKUP(G99,TABLAS!$A$7:$D$17,1))*VLOOKUP(G99,TABLAS!$A$7:$D$17,4)+VLOOKUP(G99,TABLAS!$A$7:$D$17,3)</f>
        <v>#N/A</v>
      </c>
      <c r="I99" s="79">
        <f t="shared" si="19"/>
        <v>516.60629119999999</v>
      </c>
      <c r="J99" s="79">
        <v>0</v>
      </c>
      <c r="K99" s="79" t="e">
        <f t="shared" si="20"/>
        <v>#N/A</v>
      </c>
      <c r="L99" s="81" t="e">
        <f t="shared" si="21"/>
        <v>#N/A</v>
      </c>
      <c r="M99" s="80" t="e">
        <f t="shared" si="22"/>
        <v>#N/A</v>
      </c>
      <c r="N99" s="79">
        <f>IMSS!AK181</f>
        <v>0</v>
      </c>
      <c r="O99" s="22">
        <f t="shared" si="14"/>
        <v>0</v>
      </c>
      <c r="P99" s="35">
        <f t="shared" si="15"/>
        <v>0</v>
      </c>
      <c r="Q99" s="73">
        <f t="shared" si="16"/>
        <v>472.56</v>
      </c>
      <c r="R99" s="23"/>
    </row>
    <row r="100" spans="1:18" ht="12.5" customHeight="1" x14ac:dyDescent="0.25">
      <c r="A100" s="24">
        <f t="shared" si="17"/>
        <v>94</v>
      </c>
      <c r="B100" s="163" t="s">
        <v>199</v>
      </c>
      <c r="C100" s="164" t="s">
        <v>281</v>
      </c>
      <c r="D100" s="165"/>
      <c r="E100" s="135">
        <v>30</v>
      </c>
      <c r="F100" s="162"/>
      <c r="G100" s="79">
        <f t="shared" si="18"/>
        <v>0</v>
      </c>
      <c r="H100" s="80" t="e">
        <f>(G100-VLOOKUP(G100,TABLAS!$A$7:$D$17,1))*VLOOKUP(G100,TABLAS!$A$7:$D$17,4)+VLOOKUP(G100,TABLAS!$A$7:$D$17,3)</f>
        <v>#N/A</v>
      </c>
      <c r="I100" s="79">
        <f t="shared" si="19"/>
        <v>516.60629119999999</v>
      </c>
      <c r="J100" s="79">
        <v>0</v>
      </c>
      <c r="K100" s="79" t="e">
        <f t="shared" si="20"/>
        <v>#N/A</v>
      </c>
      <c r="L100" s="81" t="e">
        <f t="shared" si="21"/>
        <v>#N/A</v>
      </c>
      <c r="M100" s="80" t="e">
        <f t="shared" si="22"/>
        <v>#N/A</v>
      </c>
      <c r="N100" s="79">
        <f>IMSS!AK182</f>
        <v>0</v>
      </c>
      <c r="O100" s="22">
        <f t="shared" si="14"/>
        <v>0</v>
      </c>
      <c r="P100" s="35">
        <f t="shared" si="15"/>
        <v>0</v>
      </c>
      <c r="Q100" s="73">
        <f t="shared" si="16"/>
        <v>472.56</v>
      </c>
      <c r="R100" s="23"/>
    </row>
    <row r="101" spans="1:18" ht="12.5" customHeight="1" x14ac:dyDescent="0.25">
      <c r="A101" s="24">
        <f t="shared" si="17"/>
        <v>95</v>
      </c>
      <c r="B101" s="163" t="s">
        <v>200</v>
      </c>
      <c r="C101" s="164" t="s">
        <v>282</v>
      </c>
      <c r="D101" s="165"/>
      <c r="E101" s="135">
        <v>30</v>
      </c>
      <c r="F101" s="162"/>
      <c r="G101" s="79">
        <f t="shared" si="18"/>
        <v>0</v>
      </c>
      <c r="H101" s="80" t="e">
        <f>(G101-VLOOKUP(G101,TABLAS!$A$7:$D$17,1))*VLOOKUP(G101,TABLAS!$A$7:$D$17,4)+VLOOKUP(G101,TABLAS!$A$7:$D$17,3)</f>
        <v>#N/A</v>
      </c>
      <c r="I101" s="79">
        <f t="shared" si="19"/>
        <v>516.60629119999999</v>
      </c>
      <c r="J101" s="79">
        <v>0</v>
      </c>
      <c r="K101" s="79" t="e">
        <f t="shared" si="20"/>
        <v>#N/A</v>
      </c>
      <c r="L101" s="81" t="e">
        <f t="shared" si="21"/>
        <v>#N/A</v>
      </c>
      <c r="M101" s="80" t="e">
        <f t="shared" si="22"/>
        <v>#N/A</v>
      </c>
      <c r="N101" s="79">
        <f>IMSS!AK183</f>
        <v>0</v>
      </c>
      <c r="O101" s="22">
        <f t="shared" si="14"/>
        <v>0</v>
      </c>
      <c r="P101" s="35">
        <f t="shared" si="15"/>
        <v>0</v>
      </c>
      <c r="Q101" s="73">
        <f t="shared" si="16"/>
        <v>472.56</v>
      </c>
      <c r="R101" s="23"/>
    </row>
    <row r="102" spans="1:18" ht="12.5" customHeight="1" x14ac:dyDescent="0.25">
      <c r="A102" s="24">
        <f t="shared" si="17"/>
        <v>96</v>
      </c>
      <c r="B102" s="163" t="s">
        <v>201</v>
      </c>
      <c r="C102" s="164" t="s">
        <v>283</v>
      </c>
      <c r="D102" s="165"/>
      <c r="E102" s="135">
        <v>30</v>
      </c>
      <c r="F102" s="162"/>
      <c r="G102" s="79">
        <f t="shared" si="18"/>
        <v>0</v>
      </c>
      <c r="H102" s="80" t="e">
        <f>(G102-VLOOKUP(G102,TABLAS!$A$7:$D$17,1))*VLOOKUP(G102,TABLAS!$A$7:$D$17,4)+VLOOKUP(G102,TABLAS!$A$7:$D$17,3)</f>
        <v>#N/A</v>
      </c>
      <c r="I102" s="79">
        <f t="shared" si="19"/>
        <v>516.60629119999999</v>
      </c>
      <c r="J102" s="79">
        <v>0</v>
      </c>
      <c r="K102" s="79" t="e">
        <f t="shared" si="20"/>
        <v>#N/A</v>
      </c>
      <c r="L102" s="81" t="e">
        <f t="shared" si="21"/>
        <v>#N/A</v>
      </c>
      <c r="M102" s="80" t="e">
        <f t="shared" si="22"/>
        <v>#N/A</v>
      </c>
      <c r="N102" s="79">
        <f>IMSS!AK184</f>
        <v>0</v>
      </c>
      <c r="O102" s="22">
        <f t="shared" si="14"/>
        <v>0</v>
      </c>
      <c r="P102" s="35">
        <f t="shared" si="15"/>
        <v>0</v>
      </c>
      <c r="Q102" s="73">
        <f t="shared" si="16"/>
        <v>472.56</v>
      </c>
      <c r="R102" s="23"/>
    </row>
    <row r="103" spans="1:18" ht="12.5" customHeight="1" x14ac:dyDescent="0.25">
      <c r="A103" s="24">
        <f t="shared" si="17"/>
        <v>97</v>
      </c>
      <c r="B103" s="163" t="s">
        <v>202</v>
      </c>
      <c r="C103" s="164" t="s">
        <v>284</v>
      </c>
      <c r="D103" s="165"/>
      <c r="E103" s="135">
        <v>30</v>
      </c>
      <c r="F103" s="162"/>
      <c r="G103" s="79">
        <f t="shared" si="18"/>
        <v>0</v>
      </c>
      <c r="H103" s="80" t="e">
        <f>(G103-VLOOKUP(G103,TABLAS!$A$7:$D$17,1))*VLOOKUP(G103,TABLAS!$A$7:$D$17,4)+VLOOKUP(G103,TABLAS!$A$7:$D$17,3)</f>
        <v>#N/A</v>
      </c>
      <c r="I103" s="79">
        <f t="shared" si="19"/>
        <v>516.60629119999999</v>
      </c>
      <c r="J103" s="79">
        <v>0</v>
      </c>
      <c r="K103" s="79" t="e">
        <f t="shared" si="20"/>
        <v>#N/A</v>
      </c>
      <c r="L103" s="81" t="e">
        <f t="shared" si="21"/>
        <v>#N/A</v>
      </c>
      <c r="M103" s="80" t="e">
        <f t="shared" si="22"/>
        <v>#N/A</v>
      </c>
      <c r="N103" s="79">
        <f>IMSS!AK185</f>
        <v>0</v>
      </c>
      <c r="O103" s="22">
        <f t="shared" si="14"/>
        <v>0</v>
      </c>
      <c r="P103" s="35">
        <f t="shared" si="15"/>
        <v>0</v>
      </c>
      <c r="Q103" s="73">
        <f t="shared" si="16"/>
        <v>472.56</v>
      </c>
      <c r="R103" s="23"/>
    </row>
    <row r="104" spans="1:18" ht="12.5" customHeight="1" x14ac:dyDescent="0.25">
      <c r="A104" s="24">
        <f t="shared" si="17"/>
        <v>98</v>
      </c>
      <c r="B104" s="163" t="s">
        <v>203</v>
      </c>
      <c r="C104" s="164" t="s">
        <v>285</v>
      </c>
      <c r="D104" s="165"/>
      <c r="E104" s="135">
        <v>30</v>
      </c>
      <c r="F104" s="162"/>
      <c r="G104" s="79">
        <f t="shared" si="18"/>
        <v>0</v>
      </c>
      <c r="H104" s="80" t="e">
        <f>(G104-VLOOKUP(G104,TABLAS!$A$7:$D$17,1))*VLOOKUP(G104,TABLAS!$A$7:$D$17,4)+VLOOKUP(G104,TABLAS!$A$7:$D$17,3)</f>
        <v>#N/A</v>
      </c>
      <c r="I104" s="79">
        <f t="shared" si="19"/>
        <v>516.60629119999999</v>
      </c>
      <c r="J104" s="79">
        <v>0</v>
      </c>
      <c r="K104" s="79" t="e">
        <f t="shared" si="20"/>
        <v>#N/A</v>
      </c>
      <c r="L104" s="81" t="e">
        <f t="shared" si="21"/>
        <v>#N/A</v>
      </c>
      <c r="M104" s="80" t="e">
        <f t="shared" si="22"/>
        <v>#N/A</v>
      </c>
      <c r="N104" s="79">
        <f>IMSS!AK186</f>
        <v>0</v>
      </c>
      <c r="O104" s="22">
        <f t="shared" si="14"/>
        <v>0</v>
      </c>
      <c r="P104" s="35">
        <f t="shared" si="15"/>
        <v>0</v>
      </c>
      <c r="Q104" s="73">
        <f t="shared" si="16"/>
        <v>472.56</v>
      </c>
      <c r="R104" s="23"/>
    </row>
    <row r="105" spans="1:18" ht="12.75" customHeight="1" x14ac:dyDescent="0.25">
      <c r="A105" s="24"/>
      <c r="B105" s="36"/>
      <c r="C105" s="25"/>
      <c r="D105" s="26"/>
      <c r="E105" s="27"/>
      <c r="F105" s="28"/>
      <c r="G105" s="29"/>
      <c r="H105" s="22"/>
      <c r="I105" s="29"/>
      <c r="J105" s="29"/>
      <c r="K105" s="29"/>
      <c r="L105" s="30"/>
      <c r="M105" s="22"/>
      <c r="N105" s="31"/>
      <c r="O105" s="23"/>
      <c r="P105" s="32"/>
      <c r="Q105" s="29"/>
      <c r="R105" s="23"/>
    </row>
    <row r="106" spans="1:18" s="6" customFormat="1" ht="12.75" customHeight="1" x14ac:dyDescent="0.25">
      <c r="A106" s="24"/>
      <c r="B106" s="33" t="s">
        <v>30</v>
      </c>
      <c r="C106" s="32"/>
      <c r="D106" s="34">
        <f>SUM(D7:D104)</f>
        <v>0</v>
      </c>
      <c r="E106" s="34"/>
      <c r="F106" s="34"/>
      <c r="G106" s="34">
        <f t="shared" ref="G106:N106" si="23">SUM(G7:G104)</f>
        <v>0</v>
      </c>
      <c r="H106" s="34" t="e">
        <f t="shared" si="23"/>
        <v>#N/A</v>
      </c>
      <c r="I106" s="34">
        <f t="shared" si="23"/>
        <v>50627.416537599973</v>
      </c>
      <c r="J106" s="34">
        <f t="shared" si="23"/>
        <v>0</v>
      </c>
      <c r="K106" s="34" t="e">
        <f t="shared" si="23"/>
        <v>#N/A</v>
      </c>
      <c r="L106" s="34" t="e">
        <f t="shared" si="23"/>
        <v>#N/A</v>
      </c>
      <c r="M106" s="34" t="e">
        <f t="shared" si="23"/>
        <v>#N/A</v>
      </c>
      <c r="N106" s="34" t="e">
        <f t="shared" si="23"/>
        <v>#N/A</v>
      </c>
      <c r="O106" s="32"/>
      <c r="P106" s="23"/>
      <c r="Q106" s="74"/>
      <c r="R106" s="32"/>
    </row>
    <row r="107" spans="1:18" ht="12.75" customHeight="1" thickBot="1" x14ac:dyDescent="0.3">
      <c r="A107" s="4"/>
      <c r="D107" s="8"/>
      <c r="M107" s="7"/>
    </row>
    <row r="108" spans="1:18" ht="12.5" customHeight="1" x14ac:dyDescent="0.25">
      <c r="A108" s="4"/>
      <c r="B108" s="172" t="s">
        <v>79</v>
      </c>
      <c r="C108" s="173"/>
      <c r="D108" s="173"/>
      <c r="E108" s="174"/>
      <c r="F108" s="21"/>
      <c r="G108" s="17"/>
      <c r="L108" s="1"/>
      <c r="M108" s="11"/>
      <c r="N108" s="8"/>
    </row>
    <row r="109" spans="1:18" ht="13.5" customHeight="1" x14ac:dyDescent="0.25">
      <c r="A109" s="6"/>
      <c r="B109" s="153"/>
      <c r="C109" s="154" t="s">
        <v>49</v>
      </c>
      <c r="D109" s="155" t="s">
        <v>64</v>
      </c>
      <c r="E109" s="156" t="s">
        <v>54</v>
      </c>
      <c r="F109" s="18"/>
    </row>
    <row r="110" spans="1:18" s="5" customFormat="1" ht="12" customHeight="1" thickBot="1" x14ac:dyDescent="0.4">
      <c r="B110" s="87" t="s">
        <v>74</v>
      </c>
      <c r="C110" s="82">
        <f>G106+J106</f>
        <v>0</v>
      </c>
      <c r="D110" s="83" t="e">
        <f>+M106</f>
        <v>#N/A</v>
      </c>
      <c r="E110" s="88" t="e">
        <f>C110+D110</f>
        <v>#N/A</v>
      </c>
      <c r="F110" s="19"/>
      <c r="K110" s="75"/>
      <c r="L110" s="76"/>
      <c r="Q110" s="77"/>
    </row>
    <row r="111" spans="1:18" s="5" customFormat="1" ht="12" customHeight="1" x14ac:dyDescent="0.35">
      <c r="B111" s="89" t="s">
        <v>78</v>
      </c>
      <c r="C111" s="84"/>
      <c r="D111" s="83"/>
      <c r="E111" s="88" t="e">
        <f>+N106</f>
        <v>#N/A</v>
      </c>
      <c r="F111" s="19"/>
      <c r="J111" s="77"/>
      <c r="K111" s="166" t="s">
        <v>119</v>
      </c>
      <c r="L111" s="167" t="e">
        <f>'IMSS REAL'!AL106</f>
        <v>#N/A</v>
      </c>
    </row>
    <row r="112" spans="1:18" s="5" customFormat="1" ht="12" customHeight="1" x14ac:dyDescent="0.35">
      <c r="B112" s="90" t="s">
        <v>75</v>
      </c>
      <c r="C112" s="84"/>
      <c r="D112" s="83"/>
      <c r="E112" s="91" t="e">
        <f>SUM(E110:E111)</f>
        <v>#N/A</v>
      </c>
      <c r="F112" s="19"/>
      <c r="J112" s="77"/>
      <c r="K112" s="168" t="s">
        <v>120</v>
      </c>
      <c r="L112" s="169" t="e">
        <f>L111-N106</f>
        <v>#N/A</v>
      </c>
    </row>
    <row r="113" spans="2:17" s="5" customFormat="1" ht="12" customHeight="1" thickBot="1" x14ac:dyDescent="0.4">
      <c r="B113" s="89" t="s">
        <v>76</v>
      </c>
      <c r="C113" s="84"/>
      <c r="D113" s="85">
        <v>0.06</v>
      </c>
      <c r="E113" s="88" t="e">
        <f>E112*D113</f>
        <v>#N/A</v>
      </c>
      <c r="F113" s="19"/>
      <c r="J113" s="77"/>
      <c r="K113" s="170" t="s">
        <v>121</v>
      </c>
      <c r="L113" s="171" t="e">
        <f>L112*12</f>
        <v>#N/A</v>
      </c>
    </row>
    <row r="114" spans="2:17" s="5" customFormat="1" ht="12" customHeight="1" x14ac:dyDescent="0.35">
      <c r="B114" s="92" t="s">
        <v>56</v>
      </c>
      <c r="C114" s="82"/>
      <c r="D114" s="83"/>
      <c r="E114" s="91" t="e">
        <f>E112+E113</f>
        <v>#N/A</v>
      </c>
      <c r="F114" s="19"/>
      <c r="J114" s="77"/>
    </row>
    <row r="115" spans="2:17" s="5" customFormat="1" ht="12" customHeight="1" x14ac:dyDescent="0.35">
      <c r="B115" s="87" t="s">
        <v>82</v>
      </c>
      <c r="C115" s="86"/>
      <c r="D115" s="85">
        <v>0.16</v>
      </c>
      <c r="E115" s="93" t="e">
        <f>E114*D115</f>
        <v>#N/A</v>
      </c>
      <c r="F115" s="19"/>
      <c r="J115" s="77"/>
    </row>
    <row r="116" spans="2:17" ht="12" thickBot="1" x14ac:dyDescent="0.3">
      <c r="B116" s="134" t="s">
        <v>77</v>
      </c>
      <c r="C116" s="94"/>
      <c r="D116" s="95"/>
      <c r="E116" s="96" t="e">
        <f>E114+E115</f>
        <v>#N/A</v>
      </c>
      <c r="F116" s="20"/>
      <c r="H116" s="2"/>
      <c r="J116" s="3"/>
      <c r="L116" s="1"/>
      <c r="Q116" s="1"/>
    </row>
    <row r="117" spans="2:17" ht="12.75" customHeight="1" x14ac:dyDescent="0.25">
      <c r="J117" s="9"/>
      <c r="K117" s="16"/>
      <c r="L117" s="12"/>
      <c r="M117" s="10"/>
    </row>
    <row r="118" spans="2:17" ht="12.75" customHeight="1" x14ac:dyDescent="0.25">
      <c r="F118" s="6"/>
      <c r="H118" s="10"/>
      <c r="K118" s="11"/>
    </row>
    <row r="119" spans="2:17" ht="12.75" customHeight="1" x14ac:dyDescent="0.25">
      <c r="M119" s="14"/>
    </row>
    <row r="120" spans="2:17" ht="12.75" customHeight="1" x14ac:dyDescent="0.25">
      <c r="F120" s="6"/>
      <c r="M120" s="14"/>
    </row>
    <row r="121" spans="2:17" ht="12.75" customHeight="1" x14ac:dyDescent="0.25">
      <c r="F121" s="6"/>
      <c r="M121" s="10"/>
    </row>
    <row r="122" spans="2:17" ht="12.75" customHeight="1" x14ac:dyDescent="0.25">
      <c r="F122" s="6"/>
    </row>
    <row r="123" spans="2:17" ht="12.75" customHeight="1" x14ac:dyDescent="0.25">
      <c r="M123" s="10"/>
    </row>
    <row r="124" spans="2:17" ht="12.75" customHeight="1" x14ac:dyDescent="0.25">
      <c r="K124" s="15"/>
      <c r="M124" s="10"/>
    </row>
    <row r="125" spans="2:17" ht="12.75" customHeight="1" x14ac:dyDescent="0.25">
      <c r="K125" s="15"/>
      <c r="M125" s="10"/>
    </row>
  </sheetData>
  <autoFilter ref="A5:R22" xr:uid="{00000000-0001-0000-0100-000000000000}"/>
  <mergeCells count="17">
    <mergeCell ref="M3:N3"/>
    <mergeCell ref="N5:N6"/>
    <mergeCell ref="I5:I6"/>
    <mergeCell ref="J5:J6"/>
    <mergeCell ref="F5:F6"/>
    <mergeCell ref="K5:K6"/>
    <mergeCell ref="L5:L6"/>
    <mergeCell ref="G5:G6"/>
    <mergeCell ref="M5:M6"/>
    <mergeCell ref="B108:E108"/>
    <mergeCell ref="A5:A6"/>
    <mergeCell ref="B5:B6"/>
    <mergeCell ref="C5:C6"/>
    <mergeCell ref="E5:E6"/>
    <mergeCell ref="D5:D6"/>
    <mergeCell ref="H5:H6"/>
    <mergeCell ref="A2:G2"/>
  </mergeCells>
  <phoneticPr fontId="28" type="noConversion"/>
  <printOptions horizontalCentered="1" verticalCentered="1"/>
  <pageMargins left="0.2" right="0.2" top="0.39000000000000007" bottom="0.39000000000000007" header="1.57" footer="0"/>
  <pageSetup scale="51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M111"/>
  <sheetViews>
    <sheetView zoomScaleNormal="100" zoomScalePageLayoutView="150" workbookViewId="0">
      <pane ySplit="6" topLeftCell="A7" activePane="bottomLeft" state="frozen"/>
      <selection pane="bottomLeft" activeCell="Q7" sqref="Q7"/>
    </sheetView>
  </sheetViews>
  <sheetFormatPr baseColWidth="10" defaultColWidth="9.1796875" defaultRowHeight="12.75" customHeight="1" x14ac:dyDescent="0.25"/>
  <cols>
    <col min="1" max="1" width="5.7265625" style="23" customWidth="1"/>
    <col min="2" max="5" width="5" style="23" hidden="1" customWidth="1"/>
    <col min="6" max="6" width="18.1796875" style="23" customWidth="1"/>
    <col min="7" max="7" width="15.54296875" style="23" customWidth="1"/>
    <col min="8" max="8" width="9.6328125" style="23" bestFit="1" customWidth="1"/>
    <col min="9" max="9" width="11.7265625" style="23" customWidth="1"/>
    <col min="10" max="10" width="13" style="23" customWidth="1"/>
    <col min="11" max="11" width="11.7265625" style="23" customWidth="1"/>
    <col min="12" max="12" width="9.1796875" style="23"/>
    <col min="13" max="13" width="11" style="23" bestFit="1" customWidth="1"/>
    <col min="14" max="14" width="13" style="23" customWidth="1"/>
    <col min="15" max="15" width="10.6328125" style="23" bestFit="1" customWidth="1"/>
    <col min="16" max="16" width="10.7265625" style="23" customWidth="1"/>
    <col min="17" max="17" width="10.81640625" style="23" customWidth="1"/>
    <col min="18" max="18" width="11.7265625" style="23" customWidth="1"/>
    <col min="19" max="19" width="10.81640625" style="23" customWidth="1"/>
    <col min="20" max="20" width="12.453125" style="23" customWidth="1"/>
    <col min="21" max="21" width="12.1796875" style="23" customWidth="1"/>
    <col min="22" max="22" width="1.7265625" style="23" customWidth="1"/>
    <col min="23" max="25" width="12" style="23" bestFit="1" customWidth="1"/>
    <col min="26" max="26" width="14.1796875" style="23" customWidth="1"/>
    <col min="27" max="27" width="1.7265625" style="23" customWidth="1"/>
    <col min="28" max="28" width="12.1796875" style="23" customWidth="1"/>
    <col min="29" max="29" width="13.453125" style="23" customWidth="1"/>
    <col min="30" max="30" width="12" style="23" bestFit="1" customWidth="1"/>
    <col min="31" max="31" width="13" style="23" bestFit="1" customWidth="1"/>
    <col min="32" max="32" width="2.453125" style="23" customWidth="1"/>
    <col min="33" max="33" width="11" style="23" hidden="1" customWidth="1"/>
    <col min="34" max="34" width="0" style="23" hidden="1" customWidth="1"/>
    <col min="35" max="35" width="11" style="23" hidden="1" customWidth="1"/>
    <col min="36" max="36" width="10" style="23" hidden="1" customWidth="1"/>
    <col min="37" max="37" width="13" style="23" bestFit="1" customWidth="1"/>
    <col min="38" max="38" width="10.6328125" style="23" bestFit="1" customWidth="1"/>
    <col min="39" max="185" width="9.1796875" style="23"/>
    <col min="186" max="186" width="4.453125" style="23" customWidth="1"/>
    <col min="187" max="187" width="30.81640625" style="23" customWidth="1"/>
    <col min="188" max="188" width="4.7265625" style="23" customWidth="1"/>
    <col min="189" max="190" width="0" style="23" hidden="1" customWidth="1"/>
    <col min="191" max="191" width="8.1796875" style="23" customWidth="1"/>
    <col min="192" max="192" width="11" style="23" customWidth="1"/>
    <col min="193" max="193" width="11.453125" style="23" customWidth="1"/>
    <col min="194" max="194" width="9.1796875" style="23" customWidth="1"/>
    <col min="195" max="195" width="10.26953125" style="23" customWidth="1"/>
    <col min="196" max="196" width="10.26953125" style="23" bestFit="1" customWidth="1"/>
    <col min="197" max="197" width="12.453125" style="23" customWidth="1"/>
    <col min="198" max="198" width="6.81640625" style="23" customWidth="1"/>
    <col min="199" max="199" width="11.26953125" style="23" customWidth="1"/>
    <col min="200" max="200" width="9" style="23" customWidth="1"/>
    <col min="201" max="201" width="10.26953125" style="23" customWidth="1"/>
    <col min="202" max="202" width="11.453125" style="23" customWidth="1"/>
    <col min="203" max="203" width="31.81640625" style="23" customWidth="1"/>
    <col min="204" max="204" width="7.26953125" style="23" customWidth="1"/>
    <col min="205" max="206" width="7.81640625" style="23" customWidth="1"/>
    <col min="207" max="207" width="11.453125" style="23" customWidth="1"/>
    <col min="208" max="208" width="7" style="23" customWidth="1"/>
    <col min="209" max="209" width="6.81640625" style="23" customWidth="1"/>
    <col min="210" max="210" width="25.1796875" style="23" customWidth="1"/>
    <col min="211" max="216" width="9.1796875" style="23" customWidth="1"/>
    <col min="217" max="16384" width="9.1796875" style="23"/>
  </cols>
  <sheetData>
    <row r="1" spans="1:39" ht="12.75" customHeight="1" x14ac:dyDescent="0.25">
      <c r="L1" s="24" t="s">
        <v>0</v>
      </c>
      <c r="M1" s="24" t="s">
        <v>1</v>
      </c>
    </row>
    <row r="2" spans="1:39" ht="12" customHeight="1" x14ac:dyDescent="0.25">
      <c r="A2" s="188" t="s">
        <v>55</v>
      </c>
      <c r="B2" s="188"/>
      <c r="C2" s="188"/>
      <c r="D2" s="188"/>
      <c r="E2" s="188"/>
      <c r="F2" s="188"/>
      <c r="G2" s="188"/>
      <c r="L2" s="161">
        <v>117.31</v>
      </c>
      <c r="M2" s="161">
        <f>+L2*3</f>
        <v>351.93</v>
      </c>
      <c r="R2" s="3">
        <f>+H8*M8</f>
        <v>0</v>
      </c>
      <c r="S2" s="157">
        <v>1</v>
      </c>
    </row>
    <row r="3" spans="1:39" ht="12.75" customHeight="1" x14ac:dyDescent="0.25">
      <c r="A3" s="188"/>
      <c r="B3" s="188"/>
      <c r="C3" s="188"/>
      <c r="D3" s="188"/>
      <c r="E3" s="188"/>
      <c r="F3" s="188"/>
      <c r="G3" s="188"/>
      <c r="R3" s="3">
        <f>+R8</f>
        <v>0</v>
      </c>
      <c r="S3" s="158">
        <v>5.3344000000000003E-2</v>
      </c>
      <c r="AH3" s="29"/>
    </row>
    <row r="4" spans="1:39" ht="16.5" customHeight="1" x14ac:dyDescent="0.25">
      <c r="A4" s="97" t="s">
        <v>2</v>
      </c>
      <c r="B4" s="97"/>
      <c r="C4" s="97"/>
      <c r="D4" s="97"/>
      <c r="E4" s="97"/>
      <c r="F4" s="98" t="s">
        <v>2</v>
      </c>
      <c r="G4" s="99"/>
      <c r="H4" s="98"/>
      <c r="I4" s="98"/>
      <c r="J4" s="98"/>
      <c r="K4" s="98"/>
      <c r="L4" s="98" t="s">
        <v>2</v>
      </c>
      <c r="M4" s="106"/>
      <c r="N4" s="189" t="s">
        <v>3</v>
      </c>
      <c r="O4" s="189"/>
      <c r="P4" s="189"/>
      <c r="Q4" s="189"/>
      <c r="R4" s="107"/>
      <c r="S4" s="98"/>
      <c r="T4" s="98"/>
      <c r="U4" s="98"/>
      <c r="V4" s="106" t="s">
        <v>59</v>
      </c>
      <c r="W4" s="152"/>
      <c r="X4" s="152"/>
      <c r="Y4" s="152"/>
      <c r="Z4" s="152"/>
      <c r="AA4" s="152"/>
      <c r="AB4" s="190" t="s">
        <v>32</v>
      </c>
      <c r="AC4" s="190"/>
      <c r="AD4" s="190"/>
      <c r="AE4" s="190"/>
      <c r="AF4" s="152"/>
      <c r="AG4" s="191" t="s">
        <v>4</v>
      </c>
      <c r="AH4" s="191"/>
      <c r="AI4" s="191"/>
      <c r="AJ4" s="193" t="s">
        <v>5</v>
      </c>
      <c r="AK4" s="152"/>
      <c r="AL4" s="152"/>
    </row>
    <row r="5" spans="1:39" ht="25" customHeight="1" x14ac:dyDescent="0.25">
      <c r="A5" s="194" t="s">
        <v>6</v>
      </c>
      <c r="B5" s="143"/>
      <c r="C5" s="143"/>
      <c r="D5" s="143"/>
      <c r="E5" s="143"/>
      <c r="F5" s="195" t="s">
        <v>7</v>
      </c>
      <c r="G5" s="195" t="s">
        <v>8</v>
      </c>
      <c r="H5" s="192" t="s">
        <v>9</v>
      </c>
      <c r="I5" s="192" t="s">
        <v>10</v>
      </c>
      <c r="J5" s="192" t="s">
        <v>11</v>
      </c>
      <c r="K5" s="192" t="s">
        <v>12</v>
      </c>
      <c r="L5" s="192" t="s">
        <v>13</v>
      </c>
      <c r="M5" s="192" t="s">
        <v>14</v>
      </c>
      <c r="N5" s="145" t="s">
        <v>15</v>
      </c>
      <c r="O5" s="144" t="s">
        <v>16</v>
      </c>
      <c r="P5" s="145" t="s">
        <v>17</v>
      </c>
      <c r="Q5" s="145" t="s">
        <v>18</v>
      </c>
      <c r="R5" s="145" t="s">
        <v>19</v>
      </c>
      <c r="S5" s="145" t="s">
        <v>20</v>
      </c>
      <c r="T5" s="144" t="s">
        <v>21</v>
      </c>
      <c r="U5" s="187" t="s">
        <v>33</v>
      </c>
      <c r="V5" s="150"/>
      <c r="W5" s="144" t="s">
        <v>23</v>
      </c>
      <c r="X5" s="187" t="s">
        <v>24</v>
      </c>
      <c r="Y5" s="144" t="s">
        <v>25</v>
      </c>
      <c r="Z5" s="187" t="s">
        <v>26</v>
      </c>
      <c r="AA5" s="152"/>
      <c r="AB5" s="187" t="s">
        <v>22</v>
      </c>
      <c r="AC5" s="187" t="s">
        <v>27</v>
      </c>
      <c r="AD5" s="187" t="s">
        <v>81</v>
      </c>
      <c r="AE5" s="187" t="s">
        <v>28</v>
      </c>
      <c r="AF5" s="152"/>
      <c r="AG5" s="193" t="s">
        <v>4</v>
      </c>
      <c r="AH5" s="193" t="s">
        <v>31</v>
      </c>
      <c r="AI5" s="193" t="s">
        <v>29</v>
      </c>
      <c r="AJ5" s="193"/>
      <c r="AK5" s="187" t="s">
        <v>57</v>
      </c>
      <c r="AL5" s="187" t="s">
        <v>58</v>
      </c>
    </row>
    <row r="6" spans="1:39" ht="12.75" customHeight="1" x14ac:dyDescent="0.25">
      <c r="A6" s="194"/>
      <c r="B6" s="143"/>
      <c r="C6" s="143"/>
      <c r="D6" s="143"/>
      <c r="E6" s="143"/>
      <c r="F6" s="195"/>
      <c r="G6" s="195"/>
      <c r="H6" s="192"/>
      <c r="I6" s="192"/>
      <c r="J6" s="192"/>
      <c r="K6" s="192"/>
      <c r="L6" s="192"/>
      <c r="M6" s="192"/>
      <c r="N6" s="146">
        <v>0.20399999999999999</v>
      </c>
      <c r="O6" s="147">
        <v>1.4999999999999999E-2</v>
      </c>
      <c r="P6" s="148">
        <v>9.4999999999999998E-3</v>
      </c>
      <c r="Q6" s="148">
        <v>1.4250000000000001E-2</v>
      </c>
      <c r="R6" s="149">
        <v>5.0000000000000001E-3</v>
      </c>
      <c r="S6" s="148">
        <v>2.375E-2</v>
      </c>
      <c r="T6" s="148">
        <v>0.01</v>
      </c>
      <c r="U6" s="187"/>
      <c r="V6" s="151"/>
      <c r="W6" s="148">
        <v>0.02</v>
      </c>
      <c r="X6" s="187"/>
      <c r="Y6" s="148">
        <v>0.05</v>
      </c>
      <c r="Z6" s="187"/>
      <c r="AA6" s="152"/>
      <c r="AB6" s="187"/>
      <c r="AC6" s="187"/>
      <c r="AD6" s="187"/>
      <c r="AE6" s="187"/>
      <c r="AF6" s="152"/>
      <c r="AG6" s="193"/>
      <c r="AH6" s="193"/>
      <c r="AI6" s="193"/>
      <c r="AJ6" s="193"/>
      <c r="AK6" s="187"/>
      <c r="AL6" s="187"/>
    </row>
    <row r="7" spans="1:39" s="105" customFormat="1" ht="12.75" customHeight="1" x14ac:dyDescent="0.25">
      <c r="A7" s="109"/>
      <c r="B7" s="109"/>
      <c r="C7" s="109"/>
      <c r="D7" s="109"/>
      <c r="E7" s="109"/>
      <c r="F7" s="110"/>
      <c r="G7" s="111"/>
      <c r="H7" s="112"/>
      <c r="I7" s="109"/>
      <c r="J7" s="109"/>
      <c r="K7" s="109"/>
      <c r="L7" s="113"/>
      <c r="M7" s="113"/>
      <c r="N7" s="108"/>
      <c r="O7" s="108"/>
      <c r="P7" s="108"/>
      <c r="Q7" s="108"/>
      <c r="R7" s="108"/>
      <c r="S7" s="108"/>
      <c r="T7" s="108"/>
      <c r="U7" s="108"/>
      <c r="W7" s="108"/>
      <c r="X7" s="108"/>
      <c r="Y7" s="108"/>
      <c r="Z7" s="108"/>
      <c r="AB7" s="108"/>
      <c r="AC7" s="108"/>
      <c r="AD7" s="108"/>
      <c r="AE7" s="108"/>
      <c r="AG7" s="108"/>
      <c r="AH7" s="108"/>
      <c r="AI7" s="108"/>
      <c r="AJ7" s="108"/>
      <c r="AK7" s="108"/>
      <c r="AL7" s="114"/>
      <c r="AM7" s="108"/>
    </row>
    <row r="8" spans="1:39" ht="12.75" customHeight="1" x14ac:dyDescent="0.25">
      <c r="A8" s="24">
        <f>A7+1</f>
        <v>1</v>
      </c>
      <c r="B8" s="24"/>
      <c r="C8" s="24"/>
      <c r="D8" s="24"/>
      <c r="E8" s="24"/>
      <c r="F8" s="110" t="str">
        <f>NOMINA!B7</f>
        <v>Empleado 1</v>
      </c>
      <c r="G8" s="111" t="str">
        <f>NOMINA!C7</f>
        <v>Emp 001</v>
      </c>
      <c r="H8" s="112">
        <f t="shared" ref="H8" si="0">+I8-J8-K8</f>
        <v>31</v>
      </c>
      <c r="I8" s="109">
        <v>31</v>
      </c>
      <c r="J8" s="109">
        <v>0</v>
      </c>
      <c r="K8" s="109">
        <v>0</v>
      </c>
      <c r="L8" s="113">
        <f>+NOMINA!F7</f>
        <v>0</v>
      </c>
      <c r="M8" s="113">
        <f>IF(L8*1.0493&gt;$L$2*25,$L$2*25,L8*1.0493)</f>
        <v>0</v>
      </c>
      <c r="N8" s="108">
        <f t="shared" ref="N8" si="1">+ROUND($L$2*$N$6*I8,2)</f>
        <v>741.87</v>
      </c>
      <c r="O8" s="108">
        <f t="shared" ref="O8" si="2">+IF(M8&gt;$M$2,M8-$M$2,0)*$O$6*I8</f>
        <v>0</v>
      </c>
      <c r="P8" s="108">
        <f t="shared" ref="P8" si="3">+ROUND(M8*$P$6*I8,2)</f>
        <v>0</v>
      </c>
      <c r="Q8" s="108">
        <f t="shared" ref="Q8" si="4">+ROUND(M8*$Q$6*I8,2)</f>
        <v>0</v>
      </c>
      <c r="R8" s="108">
        <f t="shared" ref="R8" si="5">+ROUND(M8*$R$6*I8,2)</f>
        <v>0</v>
      </c>
      <c r="S8" s="108">
        <f t="shared" ref="S8" si="6">+ROUND(M8*$S$6*I8,2)</f>
        <v>0</v>
      </c>
      <c r="T8" s="108">
        <f t="shared" ref="T8" si="7">+ROUND(M8*$T$6*I8,2)</f>
        <v>0</v>
      </c>
      <c r="U8" s="108">
        <f t="shared" ref="U8" si="8">+SUM(N8:T8)</f>
        <v>741.87</v>
      </c>
      <c r="V8" s="105"/>
      <c r="W8" s="108">
        <f t="shared" ref="W8" si="9">+ROUND(I8*M8*$W$6,2)</f>
        <v>0</v>
      </c>
      <c r="X8" s="108" t="e">
        <f>+ROUND(H8*M8*(VLOOKUP(M8,TABLAS!$B$29:$D$35,3,1)+1.125%),2)</f>
        <v>#N/A</v>
      </c>
      <c r="Y8" s="108">
        <f t="shared" ref="Y8" si="10">+ROUND(H8*M8*$Y$6,2)</f>
        <v>0</v>
      </c>
      <c r="Z8" s="108" t="e">
        <f t="shared" ref="Z8" si="11">+SUM(W8:Y8)</f>
        <v>#N/A</v>
      </c>
      <c r="AA8" s="105"/>
      <c r="AB8" s="108">
        <f t="shared" ref="AB8" si="12">+U8</f>
        <v>741.87</v>
      </c>
      <c r="AC8" s="108" t="e">
        <f t="shared" ref="AC8" si="13">+Z8</f>
        <v>#N/A</v>
      </c>
      <c r="AD8" s="108">
        <f>+H8*L8*4%</f>
        <v>0</v>
      </c>
      <c r="AE8" s="108" t="e">
        <f t="shared" ref="AE8" si="14">+SUM(AB8:AD8)</f>
        <v>#N/A</v>
      </c>
      <c r="AF8" s="105"/>
      <c r="AG8" s="108" t="e">
        <f t="shared" ref="AG8" si="15">+AE8+AJ8</f>
        <v>#N/A</v>
      </c>
      <c r="AH8" s="108" t="e">
        <f t="shared" ref="AH8" si="16">+AG8*16%</f>
        <v>#N/A</v>
      </c>
      <c r="AI8" s="108" t="e">
        <f t="shared" ref="AI8" si="17">+AG8+AH8</f>
        <v>#N/A</v>
      </c>
      <c r="AJ8" s="108" t="e">
        <f t="shared" ref="AJ8" si="18">+AE8*7.21%</f>
        <v>#N/A</v>
      </c>
      <c r="AK8" s="108" t="e">
        <f t="shared" ref="AK8" si="19">AL8*31</f>
        <v>#N/A</v>
      </c>
      <c r="AL8" s="114" t="e">
        <f t="shared" ref="AL8" si="20">AE8/30.4</f>
        <v>#N/A</v>
      </c>
      <c r="AM8" s="39"/>
    </row>
    <row r="9" spans="1:39" ht="12.75" customHeight="1" x14ac:dyDescent="0.25">
      <c r="A9" s="24">
        <f t="shared" ref="A9:A72" si="21">A8+1</f>
        <v>2</v>
      </c>
      <c r="B9" s="24"/>
      <c r="C9" s="24"/>
      <c r="D9" s="24"/>
      <c r="E9" s="24"/>
      <c r="F9" s="110" t="str">
        <f>NOMINA!B8</f>
        <v>Empleado 2</v>
      </c>
      <c r="G9" s="111" t="str">
        <f>NOMINA!C8</f>
        <v>Emp 002</v>
      </c>
      <c r="H9" s="112">
        <f t="shared" ref="H9:H23" si="22">+I9-J9-K9</f>
        <v>31</v>
      </c>
      <c r="I9" s="109">
        <v>31</v>
      </c>
      <c r="J9" s="109">
        <v>0</v>
      </c>
      <c r="K9" s="109">
        <v>0</v>
      </c>
      <c r="L9" s="113">
        <f>+NOMINA!F8</f>
        <v>0</v>
      </c>
      <c r="M9" s="113">
        <f t="shared" ref="M9:M23" si="23">IF(L9*1.0493&gt;$L$2*25,$L$2*25,L9*1.0493)</f>
        <v>0</v>
      </c>
      <c r="N9" s="108">
        <f t="shared" ref="N9:N23" si="24">+ROUND($L$2*$N$6*I9,2)</f>
        <v>741.87</v>
      </c>
      <c r="O9" s="108">
        <f t="shared" ref="O9:O23" si="25">+IF(M9&gt;$M$2,M9-$M$2,0)*$O$6*I9</f>
        <v>0</v>
      </c>
      <c r="P9" s="108">
        <f t="shared" ref="P9:P23" si="26">+ROUND(M9*$P$6*I9,2)</f>
        <v>0</v>
      </c>
      <c r="Q9" s="108">
        <f t="shared" ref="Q9:Q23" si="27">+ROUND(M9*$Q$6*I9,2)</f>
        <v>0</v>
      </c>
      <c r="R9" s="108">
        <f t="shared" ref="R9:R23" si="28">+ROUND(M9*$R$6*I9,2)</f>
        <v>0</v>
      </c>
      <c r="S9" s="108">
        <f t="shared" ref="S9:S23" si="29">+ROUND(M9*$S$6*I9,2)</f>
        <v>0</v>
      </c>
      <c r="T9" s="108">
        <f t="shared" ref="T9:T23" si="30">+ROUND(M9*$T$6*I9,2)</f>
        <v>0</v>
      </c>
      <c r="U9" s="108">
        <f t="shared" ref="U9:U23" si="31">+SUM(N9:T9)</f>
        <v>741.87</v>
      </c>
      <c r="V9" s="105"/>
      <c r="W9" s="108">
        <f t="shared" ref="W9:W23" si="32">+ROUND(I9*M9*$W$6,2)</f>
        <v>0</v>
      </c>
      <c r="X9" s="108" t="e">
        <f>+ROUND(H9*M9*(VLOOKUP(M9,TABLAS!$B$29:$D$35,3,1)+1.125%),2)</f>
        <v>#N/A</v>
      </c>
      <c r="Y9" s="108">
        <f t="shared" ref="Y9:Y23" si="33">+ROUND(H9*M9*$Y$6,2)</f>
        <v>0</v>
      </c>
      <c r="Z9" s="108" t="e">
        <f t="shared" ref="Z9:Z23" si="34">+SUM(W9:Y9)</f>
        <v>#N/A</v>
      </c>
      <c r="AA9" s="105"/>
      <c r="AB9" s="108">
        <f t="shared" ref="AB9:AB23" si="35">+U9</f>
        <v>741.87</v>
      </c>
      <c r="AC9" s="108" t="e">
        <f t="shared" ref="AC9:AC23" si="36">+Z9</f>
        <v>#N/A</v>
      </c>
      <c r="AD9" s="108">
        <f t="shared" ref="AD9:AD23" si="37">+H9*L9*4%</f>
        <v>0</v>
      </c>
      <c r="AE9" s="108" t="e">
        <f t="shared" ref="AE9:AE23" si="38">+SUM(AB9:AD9)</f>
        <v>#N/A</v>
      </c>
      <c r="AF9" s="105"/>
      <c r="AG9" s="108" t="e">
        <f t="shared" ref="AG9:AG23" si="39">+AE9+AJ9</f>
        <v>#N/A</v>
      </c>
      <c r="AH9" s="108" t="e">
        <f t="shared" ref="AH9:AH23" si="40">+AG9*16%</f>
        <v>#N/A</v>
      </c>
      <c r="AI9" s="108" t="e">
        <f t="shared" ref="AI9:AI23" si="41">+AG9+AH9</f>
        <v>#N/A</v>
      </c>
      <c r="AJ9" s="108" t="e">
        <f t="shared" ref="AJ9:AJ23" si="42">+AE9*7.21%</f>
        <v>#N/A</v>
      </c>
      <c r="AK9" s="108" t="e">
        <f t="shared" ref="AK9:AK23" si="43">AL9*31</f>
        <v>#N/A</v>
      </c>
      <c r="AL9" s="114" t="e">
        <f t="shared" ref="AL9:AL23" si="44">AE9/30.4</f>
        <v>#N/A</v>
      </c>
      <c r="AM9" s="39"/>
    </row>
    <row r="10" spans="1:39" ht="12.75" customHeight="1" x14ac:dyDescent="0.25">
      <c r="A10" s="24">
        <f t="shared" si="21"/>
        <v>3</v>
      </c>
      <c r="B10" s="24"/>
      <c r="C10" s="24"/>
      <c r="D10" s="24"/>
      <c r="E10" s="24"/>
      <c r="F10" s="110" t="str">
        <f>NOMINA!B9</f>
        <v>Empleado 3</v>
      </c>
      <c r="G10" s="111" t="str">
        <f>NOMINA!C9</f>
        <v>Emp 003</v>
      </c>
      <c r="H10" s="112">
        <f t="shared" si="22"/>
        <v>31</v>
      </c>
      <c r="I10" s="109">
        <v>31</v>
      </c>
      <c r="J10" s="109">
        <v>0</v>
      </c>
      <c r="K10" s="109">
        <v>0</v>
      </c>
      <c r="L10" s="113">
        <f>+NOMINA!F9</f>
        <v>0</v>
      </c>
      <c r="M10" s="113">
        <f t="shared" si="23"/>
        <v>0</v>
      </c>
      <c r="N10" s="108">
        <f t="shared" si="24"/>
        <v>741.87</v>
      </c>
      <c r="O10" s="108">
        <f t="shared" si="25"/>
        <v>0</v>
      </c>
      <c r="P10" s="108">
        <f t="shared" si="26"/>
        <v>0</v>
      </c>
      <c r="Q10" s="108">
        <f t="shared" si="27"/>
        <v>0</v>
      </c>
      <c r="R10" s="108">
        <f t="shared" si="28"/>
        <v>0</v>
      </c>
      <c r="S10" s="108">
        <f t="shared" si="29"/>
        <v>0</v>
      </c>
      <c r="T10" s="108">
        <f t="shared" si="30"/>
        <v>0</v>
      </c>
      <c r="U10" s="108">
        <f t="shared" si="31"/>
        <v>741.87</v>
      </c>
      <c r="V10" s="105"/>
      <c r="W10" s="108">
        <f t="shared" si="32"/>
        <v>0</v>
      </c>
      <c r="X10" s="108" t="e">
        <f>+ROUND(H10*M10*(VLOOKUP(M10,TABLAS!$B$29:$D$35,3,1)+1.125%),2)</f>
        <v>#N/A</v>
      </c>
      <c r="Y10" s="108">
        <f t="shared" si="33"/>
        <v>0</v>
      </c>
      <c r="Z10" s="108" t="e">
        <f t="shared" si="34"/>
        <v>#N/A</v>
      </c>
      <c r="AA10" s="105"/>
      <c r="AB10" s="108">
        <f t="shared" si="35"/>
        <v>741.87</v>
      </c>
      <c r="AC10" s="108" t="e">
        <f t="shared" si="36"/>
        <v>#N/A</v>
      </c>
      <c r="AD10" s="108">
        <f t="shared" si="37"/>
        <v>0</v>
      </c>
      <c r="AE10" s="108" t="e">
        <f t="shared" si="38"/>
        <v>#N/A</v>
      </c>
      <c r="AF10" s="105"/>
      <c r="AG10" s="108" t="e">
        <f t="shared" si="39"/>
        <v>#N/A</v>
      </c>
      <c r="AH10" s="108" t="e">
        <f t="shared" si="40"/>
        <v>#N/A</v>
      </c>
      <c r="AI10" s="108" t="e">
        <f t="shared" si="41"/>
        <v>#N/A</v>
      </c>
      <c r="AJ10" s="108" t="e">
        <f t="shared" si="42"/>
        <v>#N/A</v>
      </c>
      <c r="AK10" s="108" t="e">
        <f t="shared" si="43"/>
        <v>#N/A</v>
      </c>
      <c r="AL10" s="114" t="e">
        <f t="shared" si="44"/>
        <v>#N/A</v>
      </c>
      <c r="AM10" s="39"/>
    </row>
    <row r="11" spans="1:39" ht="12.75" customHeight="1" x14ac:dyDescent="0.25">
      <c r="A11" s="24">
        <f t="shared" si="21"/>
        <v>4</v>
      </c>
      <c r="B11" s="24"/>
      <c r="C11" s="24"/>
      <c r="D11" s="24"/>
      <c r="E11" s="24"/>
      <c r="F11" s="110" t="str">
        <f>NOMINA!B10</f>
        <v>Empleado 4</v>
      </c>
      <c r="G11" s="111" t="str">
        <f>NOMINA!C10</f>
        <v>Emp 004</v>
      </c>
      <c r="H11" s="112">
        <f t="shared" si="22"/>
        <v>31</v>
      </c>
      <c r="I11" s="109">
        <v>31</v>
      </c>
      <c r="J11" s="109">
        <v>0</v>
      </c>
      <c r="K11" s="109">
        <v>0</v>
      </c>
      <c r="L11" s="113">
        <f>+NOMINA!F10</f>
        <v>0</v>
      </c>
      <c r="M11" s="113">
        <f t="shared" si="23"/>
        <v>0</v>
      </c>
      <c r="N11" s="108">
        <f t="shared" si="24"/>
        <v>741.87</v>
      </c>
      <c r="O11" s="108">
        <f t="shared" si="25"/>
        <v>0</v>
      </c>
      <c r="P11" s="108">
        <f t="shared" si="26"/>
        <v>0</v>
      </c>
      <c r="Q11" s="108">
        <f t="shared" si="27"/>
        <v>0</v>
      </c>
      <c r="R11" s="108">
        <f t="shared" si="28"/>
        <v>0</v>
      </c>
      <c r="S11" s="108">
        <f t="shared" si="29"/>
        <v>0</v>
      </c>
      <c r="T11" s="108">
        <f t="shared" si="30"/>
        <v>0</v>
      </c>
      <c r="U11" s="108">
        <f t="shared" si="31"/>
        <v>741.87</v>
      </c>
      <c r="V11" s="105"/>
      <c r="W11" s="108">
        <f t="shared" si="32"/>
        <v>0</v>
      </c>
      <c r="X11" s="108" t="e">
        <f>+ROUND(H11*M11*(VLOOKUP(M11,TABLAS!$B$29:$D$35,3,1)+1.125%),2)</f>
        <v>#N/A</v>
      </c>
      <c r="Y11" s="108">
        <f t="shared" si="33"/>
        <v>0</v>
      </c>
      <c r="Z11" s="108" t="e">
        <f t="shared" si="34"/>
        <v>#N/A</v>
      </c>
      <c r="AA11" s="105"/>
      <c r="AB11" s="108">
        <f t="shared" si="35"/>
        <v>741.87</v>
      </c>
      <c r="AC11" s="108" t="e">
        <f t="shared" si="36"/>
        <v>#N/A</v>
      </c>
      <c r="AD11" s="108">
        <f t="shared" si="37"/>
        <v>0</v>
      </c>
      <c r="AE11" s="108" t="e">
        <f t="shared" si="38"/>
        <v>#N/A</v>
      </c>
      <c r="AF11" s="105"/>
      <c r="AG11" s="108" t="e">
        <f t="shared" si="39"/>
        <v>#N/A</v>
      </c>
      <c r="AH11" s="108" t="e">
        <f t="shared" si="40"/>
        <v>#N/A</v>
      </c>
      <c r="AI11" s="108" t="e">
        <f t="shared" si="41"/>
        <v>#N/A</v>
      </c>
      <c r="AJ11" s="108" t="e">
        <f t="shared" si="42"/>
        <v>#N/A</v>
      </c>
      <c r="AK11" s="108" t="e">
        <f t="shared" si="43"/>
        <v>#N/A</v>
      </c>
      <c r="AL11" s="114" t="e">
        <f t="shared" si="44"/>
        <v>#N/A</v>
      </c>
      <c r="AM11" s="39"/>
    </row>
    <row r="12" spans="1:39" ht="12.75" customHeight="1" x14ac:dyDescent="0.25">
      <c r="A12" s="24">
        <f t="shared" si="21"/>
        <v>5</v>
      </c>
      <c r="B12" s="24"/>
      <c r="C12" s="24"/>
      <c r="D12" s="24"/>
      <c r="E12" s="24"/>
      <c r="F12" s="110" t="str">
        <f>NOMINA!B11</f>
        <v>Empleado 5</v>
      </c>
      <c r="G12" s="111" t="str">
        <f>NOMINA!C11</f>
        <v>Emp 005</v>
      </c>
      <c r="H12" s="112">
        <f t="shared" si="22"/>
        <v>31</v>
      </c>
      <c r="I12" s="109">
        <v>31</v>
      </c>
      <c r="J12" s="109">
        <v>0</v>
      </c>
      <c r="K12" s="109">
        <v>0</v>
      </c>
      <c r="L12" s="113">
        <f>+NOMINA!F11</f>
        <v>0</v>
      </c>
      <c r="M12" s="113">
        <f t="shared" si="23"/>
        <v>0</v>
      </c>
      <c r="N12" s="108">
        <f t="shared" si="24"/>
        <v>741.87</v>
      </c>
      <c r="O12" s="108">
        <f t="shared" si="25"/>
        <v>0</v>
      </c>
      <c r="P12" s="108">
        <f t="shared" si="26"/>
        <v>0</v>
      </c>
      <c r="Q12" s="108">
        <f t="shared" si="27"/>
        <v>0</v>
      </c>
      <c r="R12" s="108">
        <f t="shared" si="28"/>
        <v>0</v>
      </c>
      <c r="S12" s="108">
        <f t="shared" si="29"/>
        <v>0</v>
      </c>
      <c r="T12" s="108">
        <f t="shared" si="30"/>
        <v>0</v>
      </c>
      <c r="U12" s="108">
        <f t="shared" si="31"/>
        <v>741.87</v>
      </c>
      <c r="V12" s="105"/>
      <c r="W12" s="108">
        <f t="shared" si="32"/>
        <v>0</v>
      </c>
      <c r="X12" s="108" t="e">
        <f>+ROUND(H12*M12*(VLOOKUP(M12,TABLAS!$B$29:$D$35,3,1)+1.125%),2)</f>
        <v>#N/A</v>
      </c>
      <c r="Y12" s="108">
        <f t="shared" si="33"/>
        <v>0</v>
      </c>
      <c r="Z12" s="108" t="e">
        <f t="shared" si="34"/>
        <v>#N/A</v>
      </c>
      <c r="AA12" s="105"/>
      <c r="AB12" s="108">
        <f t="shared" si="35"/>
        <v>741.87</v>
      </c>
      <c r="AC12" s="108" t="e">
        <f t="shared" si="36"/>
        <v>#N/A</v>
      </c>
      <c r="AD12" s="108">
        <f t="shared" si="37"/>
        <v>0</v>
      </c>
      <c r="AE12" s="108" t="e">
        <f t="shared" si="38"/>
        <v>#N/A</v>
      </c>
      <c r="AF12" s="105"/>
      <c r="AG12" s="108" t="e">
        <f t="shared" si="39"/>
        <v>#N/A</v>
      </c>
      <c r="AH12" s="108" t="e">
        <f t="shared" si="40"/>
        <v>#N/A</v>
      </c>
      <c r="AI12" s="108" t="e">
        <f t="shared" si="41"/>
        <v>#N/A</v>
      </c>
      <c r="AJ12" s="108" t="e">
        <f t="shared" si="42"/>
        <v>#N/A</v>
      </c>
      <c r="AK12" s="108" t="e">
        <f t="shared" si="43"/>
        <v>#N/A</v>
      </c>
      <c r="AL12" s="114" t="e">
        <f t="shared" si="44"/>
        <v>#N/A</v>
      </c>
      <c r="AM12" s="39"/>
    </row>
    <row r="13" spans="1:39" ht="12.75" customHeight="1" x14ac:dyDescent="0.25">
      <c r="A13" s="24">
        <f t="shared" si="21"/>
        <v>6</v>
      </c>
      <c r="B13" s="24"/>
      <c r="C13" s="24"/>
      <c r="D13" s="24"/>
      <c r="E13" s="24"/>
      <c r="F13" s="110" t="str">
        <f>NOMINA!B12</f>
        <v>Empleado 6</v>
      </c>
      <c r="G13" s="111" t="str">
        <f>NOMINA!C12</f>
        <v>Emp 006</v>
      </c>
      <c r="H13" s="112">
        <f t="shared" si="22"/>
        <v>31</v>
      </c>
      <c r="I13" s="109">
        <v>31</v>
      </c>
      <c r="J13" s="109">
        <v>0</v>
      </c>
      <c r="K13" s="109">
        <v>0</v>
      </c>
      <c r="L13" s="113">
        <f>+NOMINA!F12</f>
        <v>0</v>
      </c>
      <c r="M13" s="113">
        <f t="shared" si="23"/>
        <v>0</v>
      </c>
      <c r="N13" s="108">
        <f t="shared" si="24"/>
        <v>741.87</v>
      </c>
      <c r="O13" s="108">
        <f t="shared" si="25"/>
        <v>0</v>
      </c>
      <c r="P13" s="108">
        <f t="shared" si="26"/>
        <v>0</v>
      </c>
      <c r="Q13" s="108">
        <f t="shared" si="27"/>
        <v>0</v>
      </c>
      <c r="R13" s="108">
        <f t="shared" si="28"/>
        <v>0</v>
      </c>
      <c r="S13" s="108">
        <f t="shared" si="29"/>
        <v>0</v>
      </c>
      <c r="T13" s="108">
        <f t="shared" si="30"/>
        <v>0</v>
      </c>
      <c r="U13" s="108">
        <f t="shared" si="31"/>
        <v>741.87</v>
      </c>
      <c r="V13" s="105"/>
      <c r="W13" s="108">
        <f t="shared" si="32"/>
        <v>0</v>
      </c>
      <c r="X13" s="108" t="e">
        <f>+ROUND(H13*M13*(VLOOKUP(M13,TABLAS!$B$29:$D$35,3,1)+1.125%),2)</f>
        <v>#N/A</v>
      </c>
      <c r="Y13" s="108">
        <f t="shared" si="33"/>
        <v>0</v>
      </c>
      <c r="Z13" s="108" t="e">
        <f t="shared" si="34"/>
        <v>#N/A</v>
      </c>
      <c r="AA13" s="105"/>
      <c r="AB13" s="108">
        <f t="shared" si="35"/>
        <v>741.87</v>
      </c>
      <c r="AC13" s="108" t="e">
        <f t="shared" si="36"/>
        <v>#N/A</v>
      </c>
      <c r="AD13" s="108">
        <f t="shared" si="37"/>
        <v>0</v>
      </c>
      <c r="AE13" s="108" t="e">
        <f t="shared" si="38"/>
        <v>#N/A</v>
      </c>
      <c r="AF13" s="105"/>
      <c r="AG13" s="108" t="e">
        <f t="shared" si="39"/>
        <v>#N/A</v>
      </c>
      <c r="AH13" s="108" t="e">
        <f t="shared" si="40"/>
        <v>#N/A</v>
      </c>
      <c r="AI13" s="108" t="e">
        <f t="shared" si="41"/>
        <v>#N/A</v>
      </c>
      <c r="AJ13" s="108" t="e">
        <f t="shared" si="42"/>
        <v>#N/A</v>
      </c>
      <c r="AK13" s="108" t="e">
        <f t="shared" si="43"/>
        <v>#N/A</v>
      </c>
      <c r="AL13" s="114" t="e">
        <f t="shared" si="44"/>
        <v>#N/A</v>
      </c>
      <c r="AM13" s="39"/>
    </row>
    <row r="14" spans="1:39" ht="12.75" customHeight="1" x14ac:dyDescent="0.25">
      <c r="A14" s="24">
        <f t="shared" si="21"/>
        <v>7</v>
      </c>
      <c r="B14" s="24"/>
      <c r="C14" s="24"/>
      <c r="D14" s="24"/>
      <c r="E14" s="24"/>
      <c r="F14" s="110" t="str">
        <f>NOMINA!B13</f>
        <v>Empleado 7</v>
      </c>
      <c r="G14" s="111" t="str">
        <f>NOMINA!C13</f>
        <v>Emp 007</v>
      </c>
      <c r="H14" s="112">
        <f t="shared" si="22"/>
        <v>31</v>
      </c>
      <c r="I14" s="109">
        <v>31</v>
      </c>
      <c r="J14" s="109">
        <v>0</v>
      </c>
      <c r="K14" s="109">
        <v>0</v>
      </c>
      <c r="L14" s="113">
        <f>+NOMINA!F13</f>
        <v>0</v>
      </c>
      <c r="M14" s="113">
        <f t="shared" si="23"/>
        <v>0</v>
      </c>
      <c r="N14" s="108">
        <f t="shared" si="24"/>
        <v>741.87</v>
      </c>
      <c r="O14" s="108">
        <f t="shared" si="25"/>
        <v>0</v>
      </c>
      <c r="P14" s="108">
        <f t="shared" si="26"/>
        <v>0</v>
      </c>
      <c r="Q14" s="108">
        <f t="shared" si="27"/>
        <v>0</v>
      </c>
      <c r="R14" s="108">
        <f t="shared" si="28"/>
        <v>0</v>
      </c>
      <c r="S14" s="108">
        <f t="shared" si="29"/>
        <v>0</v>
      </c>
      <c r="T14" s="108">
        <f t="shared" si="30"/>
        <v>0</v>
      </c>
      <c r="U14" s="108">
        <f t="shared" si="31"/>
        <v>741.87</v>
      </c>
      <c r="V14" s="105"/>
      <c r="W14" s="108">
        <f t="shared" si="32"/>
        <v>0</v>
      </c>
      <c r="X14" s="108" t="e">
        <f>+ROUND(H14*M14*(VLOOKUP(M14,TABLAS!$B$29:$D$35,3,1)+1.125%),2)</f>
        <v>#N/A</v>
      </c>
      <c r="Y14" s="108">
        <f t="shared" si="33"/>
        <v>0</v>
      </c>
      <c r="Z14" s="108" t="e">
        <f t="shared" si="34"/>
        <v>#N/A</v>
      </c>
      <c r="AA14" s="105"/>
      <c r="AB14" s="108">
        <f t="shared" si="35"/>
        <v>741.87</v>
      </c>
      <c r="AC14" s="108" t="e">
        <f t="shared" si="36"/>
        <v>#N/A</v>
      </c>
      <c r="AD14" s="108">
        <f t="shared" si="37"/>
        <v>0</v>
      </c>
      <c r="AE14" s="108" t="e">
        <f t="shared" si="38"/>
        <v>#N/A</v>
      </c>
      <c r="AF14" s="105"/>
      <c r="AG14" s="108" t="e">
        <f t="shared" si="39"/>
        <v>#N/A</v>
      </c>
      <c r="AH14" s="108" t="e">
        <f t="shared" si="40"/>
        <v>#N/A</v>
      </c>
      <c r="AI14" s="108" t="e">
        <f t="shared" si="41"/>
        <v>#N/A</v>
      </c>
      <c r="AJ14" s="108" t="e">
        <f t="shared" si="42"/>
        <v>#N/A</v>
      </c>
      <c r="AK14" s="108" t="e">
        <f t="shared" si="43"/>
        <v>#N/A</v>
      </c>
      <c r="AL14" s="114" t="e">
        <f t="shared" si="44"/>
        <v>#N/A</v>
      </c>
      <c r="AM14" s="39"/>
    </row>
    <row r="15" spans="1:39" ht="12.75" customHeight="1" x14ac:dyDescent="0.25">
      <c r="A15" s="24">
        <f t="shared" si="21"/>
        <v>8</v>
      </c>
      <c r="B15" s="24"/>
      <c r="C15" s="24"/>
      <c r="D15" s="24"/>
      <c r="E15" s="24"/>
      <c r="F15" s="110" t="str">
        <f>NOMINA!B14</f>
        <v>Empleado 8</v>
      </c>
      <c r="G15" s="111" t="str">
        <f>NOMINA!C14</f>
        <v>Emp 008</v>
      </c>
      <c r="H15" s="112">
        <f t="shared" si="22"/>
        <v>31</v>
      </c>
      <c r="I15" s="109">
        <v>31</v>
      </c>
      <c r="J15" s="109">
        <v>0</v>
      </c>
      <c r="K15" s="109">
        <v>0</v>
      </c>
      <c r="L15" s="113">
        <f>+NOMINA!F14</f>
        <v>0</v>
      </c>
      <c r="M15" s="113">
        <f t="shared" si="23"/>
        <v>0</v>
      </c>
      <c r="N15" s="108">
        <f t="shared" si="24"/>
        <v>741.87</v>
      </c>
      <c r="O15" s="108">
        <f t="shared" si="25"/>
        <v>0</v>
      </c>
      <c r="P15" s="108">
        <f t="shared" si="26"/>
        <v>0</v>
      </c>
      <c r="Q15" s="108">
        <f t="shared" si="27"/>
        <v>0</v>
      </c>
      <c r="R15" s="108">
        <f t="shared" si="28"/>
        <v>0</v>
      </c>
      <c r="S15" s="108">
        <f t="shared" si="29"/>
        <v>0</v>
      </c>
      <c r="T15" s="108">
        <f t="shared" si="30"/>
        <v>0</v>
      </c>
      <c r="U15" s="108">
        <f t="shared" si="31"/>
        <v>741.87</v>
      </c>
      <c r="V15" s="105"/>
      <c r="W15" s="108">
        <f t="shared" si="32"/>
        <v>0</v>
      </c>
      <c r="X15" s="108" t="e">
        <f>+ROUND(H15*M15*(VLOOKUP(M15,TABLAS!$B$29:$D$35,3,1)+1.125%),2)</f>
        <v>#N/A</v>
      </c>
      <c r="Y15" s="108">
        <f t="shared" si="33"/>
        <v>0</v>
      </c>
      <c r="Z15" s="108" t="e">
        <f t="shared" si="34"/>
        <v>#N/A</v>
      </c>
      <c r="AA15" s="105"/>
      <c r="AB15" s="108">
        <f t="shared" si="35"/>
        <v>741.87</v>
      </c>
      <c r="AC15" s="108" t="e">
        <f t="shared" si="36"/>
        <v>#N/A</v>
      </c>
      <c r="AD15" s="108">
        <f t="shared" si="37"/>
        <v>0</v>
      </c>
      <c r="AE15" s="108" t="e">
        <f t="shared" si="38"/>
        <v>#N/A</v>
      </c>
      <c r="AF15" s="105"/>
      <c r="AG15" s="108" t="e">
        <f t="shared" si="39"/>
        <v>#N/A</v>
      </c>
      <c r="AH15" s="108" t="e">
        <f t="shared" si="40"/>
        <v>#N/A</v>
      </c>
      <c r="AI15" s="108" t="e">
        <f t="shared" si="41"/>
        <v>#N/A</v>
      </c>
      <c r="AJ15" s="108" t="e">
        <f t="shared" si="42"/>
        <v>#N/A</v>
      </c>
      <c r="AK15" s="108" t="e">
        <f t="shared" si="43"/>
        <v>#N/A</v>
      </c>
      <c r="AL15" s="114" t="e">
        <f t="shared" si="44"/>
        <v>#N/A</v>
      </c>
      <c r="AM15" s="39"/>
    </row>
    <row r="16" spans="1:39" ht="12.75" customHeight="1" x14ac:dyDescent="0.25">
      <c r="A16" s="24">
        <f t="shared" si="21"/>
        <v>9</v>
      </c>
      <c r="B16" s="24"/>
      <c r="C16" s="24"/>
      <c r="D16" s="24"/>
      <c r="E16" s="24"/>
      <c r="F16" s="110" t="str">
        <f>NOMINA!B15</f>
        <v>Empleado 9</v>
      </c>
      <c r="G16" s="111" t="str">
        <f>NOMINA!C15</f>
        <v>Emp 009</v>
      </c>
      <c r="H16" s="112">
        <f t="shared" si="22"/>
        <v>31</v>
      </c>
      <c r="I16" s="109">
        <v>31</v>
      </c>
      <c r="J16" s="109">
        <v>0</v>
      </c>
      <c r="K16" s="109">
        <v>0</v>
      </c>
      <c r="L16" s="113">
        <f>+NOMINA!F15</f>
        <v>0</v>
      </c>
      <c r="M16" s="113">
        <f t="shared" si="23"/>
        <v>0</v>
      </c>
      <c r="N16" s="108">
        <f t="shared" si="24"/>
        <v>741.87</v>
      </c>
      <c r="O16" s="108">
        <f t="shared" si="25"/>
        <v>0</v>
      </c>
      <c r="P16" s="108">
        <f t="shared" si="26"/>
        <v>0</v>
      </c>
      <c r="Q16" s="108">
        <f t="shared" si="27"/>
        <v>0</v>
      </c>
      <c r="R16" s="108">
        <f t="shared" si="28"/>
        <v>0</v>
      </c>
      <c r="S16" s="108">
        <f t="shared" si="29"/>
        <v>0</v>
      </c>
      <c r="T16" s="108">
        <f t="shared" si="30"/>
        <v>0</v>
      </c>
      <c r="U16" s="108">
        <f t="shared" si="31"/>
        <v>741.87</v>
      </c>
      <c r="V16" s="105"/>
      <c r="W16" s="108">
        <f t="shared" si="32"/>
        <v>0</v>
      </c>
      <c r="X16" s="108" t="e">
        <f>+ROUND(H16*M16*(VLOOKUP(M16,TABLAS!$B$29:$D$35,3,1)+1.125%),2)</f>
        <v>#N/A</v>
      </c>
      <c r="Y16" s="108">
        <f t="shared" si="33"/>
        <v>0</v>
      </c>
      <c r="Z16" s="108" t="e">
        <f t="shared" si="34"/>
        <v>#N/A</v>
      </c>
      <c r="AA16" s="105"/>
      <c r="AB16" s="108">
        <f t="shared" si="35"/>
        <v>741.87</v>
      </c>
      <c r="AC16" s="108" t="e">
        <f t="shared" si="36"/>
        <v>#N/A</v>
      </c>
      <c r="AD16" s="108">
        <f t="shared" si="37"/>
        <v>0</v>
      </c>
      <c r="AE16" s="108" t="e">
        <f t="shared" si="38"/>
        <v>#N/A</v>
      </c>
      <c r="AF16" s="105"/>
      <c r="AG16" s="108" t="e">
        <f t="shared" si="39"/>
        <v>#N/A</v>
      </c>
      <c r="AH16" s="108" t="e">
        <f t="shared" si="40"/>
        <v>#N/A</v>
      </c>
      <c r="AI16" s="108" t="e">
        <f t="shared" si="41"/>
        <v>#N/A</v>
      </c>
      <c r="AJ16" s="108" t="e">
        <f t="shared" si="42"/>
        <v>#N/A</v>
      </c>
      <c r="AK16" s="108" t="e">
        <f t="shared" si="43"/>
        <v>#N/A</v>
      </c>
      <c r="AL16" s="114" t="e">
        <f t="shared" si="44"/>
        <v>#N/A</v>
      </c>
      <c r="AM16" s="39"/>
    </row>
    <row r="17" spans="1:39" ht="12.75" customHeight="1" x14ac:dyDescent="0.25">
      <c r="A17" s="24">
        <f t="shared" si="21"/>
        <v>10</v>
      </c>
      <c r="B17" s="24"/>
      <c r="C17" s="24"/>
      <c r="D17" s="24"/>
      <c r="E17" s="24"/>
      <c r="F17" s="110" t="str">
        <f>NOMINA!B16</f>
        <v>Empleado 10</v>
      </c>
      <c r="G17" s="111" t="str">
        <f>NOMINA!C16</f>
        <v>Emp 010</v>
      </c>
      <c r="H17" s="112">
        <f t="shared" si="22"/>
        <v>31</v>
      </c>
      <c r="I17" s="109">
        <v>31</v>
      </c>
      <c r="J17" s="109">
        <v>0</v>
      </c>
      <c r="K17" s="109">
        <v>0</v>
      </c>
      <c r="L17" s="113">
        <f>+NOMINA!F16</f>
        <v>0</v>
      </c>
      <c r="M17" s="113">
        <f t="shared" si="23"/>
        <v>0</v>
      </c>
      <c r="N17" s="108">
        <f t="shared" si="24"/>
        <v>741.87</v>
      </c>
      <c r="O17" s="108">
        <f t="shared" si="25"/>
        <v>0</v>
      </c>
      <c r="P17" s="108">
        <f t="shared" si="26"/>
        <v>0</v>
      </c>
      <c r="Q17" s="108">
        <f t="shared" si="27"/>
        <v>0</v>
      </c>
      <c r="R17" s="108">
        <f t="shared" si="28"/>
        <v>0</v>
      </c>
      <c r="S17" s="108">
        <f t="shared" si="29"/>
        <v>0</v>
      </c>
      <c r="T17" s="108">
        <f t="shared" si="30"/>
        <v>0</v>
      </c>
      <c r="U17" s="108">
        <f t="shared" si="31"/>
        <v>741.87</v>
      </c>
      <c r="V17" s="105"/>
      <c r="W17" s="108">
        <f t="shared" si="32"/>
        <v>0</v>
      </c>
      <c r="X17" s="108" t="e">
        <f>+ROUND(H17*M17*(VLOOKUP(M17,TABLAS!$B$29:$D$35,3,1)+1.125%),2)</f>
        <v>#N/A</v>
      </c>
      <c r="Y17" s="108">
        <f t="shared" si="33"/>
        <v>0</v>
      </c>
      <c r="Z17" s="108" t="e">
        <f t="shared" si="34"/>
        <v>#N/A</v>
      </c>
      <c r="AA17" s="105"/>
      <c r="AB17" s="108">
        <f t="shared" si="35"/>
        <v>741.87</v>
      </c>
      <c r="AC17" s="108" t="e">
        <f t="shared" si="36"/>
        <v>#N/A</v>
      </c>
      <c r="AD17" s="108">
        <f t="shared" si="37"/>
        <v>0</v>
      </c>
      <c r="AE17" s="108" t="e">
        <f t="shared" si="38"/>
        <v>#N/A</v>
      </c>
      <c r="AF17" s="105"/>
      <c r="AG17" s="108" t="e">
        <f t="shared" si="39"/>
        <v>#N/A</v>
      </c>
      <c r="AH17" s="108" t="e">
        <f t="shared" si="40"/>
        <v>#N/A</v>
      </c>
      <c r="AI17" s="108" t="e">
        <f t="shared" si="41"/>
        <v>#N/A</v>
      </c>
      <c r="AJ17" s="108" t="e">
        <f t="shared" si="42"/>
        <v>#N/A</v>
      </c>
      <c r="AK17" s="108" t="e">
        <f t="shared" si="43"/>
        <v>#N/A</v>
      </c>
      <c r="AL17" s="114" t="e">
        <f t="shared" si="44"/>
        <v>#N/A</v>
      </c>
      <c r="AM17" s="39"/>
    </row>
    <row r="18" spans="1:39" ht="12.75" customHeight="1" x14ac:dyDescent="0.25">
      <c r="A18" s="24">
        <f t="shared" si="21"/>
        <v>11</v>
      </c>
      <c r="B18" s="24"/>
      <c r="C18" s="24"/>
      <c r="D18" s="24"/>
      <c r="E18" s="24"/>
      <c r="F18" s="110" t="str">
        <f>NOMINA!B17</f>
        <v>Empleado 11</v>
      </c>
      <c r="G18" s="111" t="str">
        <f>NOMINA!C17</f>
        <v>Emp 011</v>
      </c>
      <c r="H18" s="112">
        <f t="shared" si="22"/>
        <v>31</v>
      </c>
      <c r="I18" s="109">
        <v>31</v>
      </c>
      <c r="J18" s="109">
        <v>0</v>
      </c>
      <c r="K18" s="109">
        <v>0</v>
      </c>
      <c r="L18" s="113">
        <f>+NOMINA!F17</f>
        <v>0</v>
      </c>
      <c r="M18" s="113">
        <f t="shared" si="23"/>
        <v>0</v>
      </c>
      <c r="N18" s="108">
        <f t="shared" si="24"/>
        <v>741.87</v>
      </c>
      <c r="O18" s="108">
        <f t="shared" si="25"/>
        <v>0</v>
      </c>
      <c r="P18" s="108">
        <f t="shared" si="26"/>
        <v>0</v>
      </c>
      <c r="Q18" s="108">
        <f t="shared" si="27"/>
        <v>0</v>
      </c>
      <c r="R18" s="108">
        <f t="shared" si="28"/>
        <v>0</v>
      </c>
      <c r="S18" s="108">
        <f t="shared" si="29"/>
        <v>0</v>
      </c>
      <c r="T18" s="108">
        <f t="shared" si="30"/>
        <v>0</v>
      </c>
      <c r="U18" s="108">
        <f t="shared" si="31"/>
        <v>741.87</v>
      </c>
      <c r="V18" s="105"/>
      <c r="W18" s="108">
        <f t="shared" si="32"/>
        <v>0</v>
      </c>
      <c r="X18" s="108" t="e">
        <f>+ROUND(H18*M18*(VLOOKUP(M18,TABLAS!$B$29:$D$35,3,1)+1.125%),2)</f>
        <v>#N/A</v>
      </c>
      <c r="Y18" s="108">
        <f t="shared" si="33"/>
        <v>0</v>
      </c>
      <c r="Z18" s="108" t="e">
        <f t="shared" si="34"/>
        <v>#N/A</v>
      </c>
      <c r="AA18" s="105"/>
      <c r="AB18" s="108">
        <f t="shared" si="35"/>
        <v>741.87</v>
      </c>
      <c r="AC18" s="108" t="e">
        <f t="shared" si="36"/>
        <v>#N/A</v>
      </c>
      <c r="AD18" s="108">
        <f t="shared" si="37"/>
        <v>0</v>
      </c>
      <c r="AE18" s="108" t="e">
        <f t="shared" si="38"/>
        <v>#N/A</v>
      </c>
      <c r="AF18" s="105"/>
      <c r="AG18" s="108" t="e">
        <f t="shared" si="39"/>
        <v>#N/A</v>
      </c>
      <c r="AH18" s="108" t="e">
        <f t="shared" si="40"/>
        <v>#N/A</v>
      </c>
      <c r="AI18" s="108" t="e">
        <f t="shared" si="41"/>
        <v>#N/A</v>
      </c>
      <c r="AJ18" s="108" t="e">
        <f t="shared" si="42"/>
        <v>#N/A</v>
      </c>
      <c r="AK18" s="108" t="e">
        <f t="shared" si="43"/>
        <v>#N/A</v>
      </c>
      <c r="AL18" s="114" t="e">
        <f t="shared" si="44"/>
        <v>#N/A</v>
      </c>
      <c r="AM18" s="39"/>
    </row>
    <row r="19" spans="1:39" ht="12.75" customHeight="1" x14ac:dyDescent="0.25">
      <c r="A19" s="24">
        <f t="shared" si="21"/>
        <v>12</v>
      </c>
      <c r="B19" s="24"/>
      <c r="C19" s="24"/>
      <c r="D19" s="24"/>
      <c r="E19" s="24"/>
      <c r="F19" s="110" t="str">
        <f>NOMINA!B18</f>
        <v>Empleado 12</v>
      </c>
      <c r="G19" s="111" t="str">
        <f>NOMINA!C18</f>
        <v>Emp 012</v>
      </c>
      <c r="H19" s="112">
        <f t="shared" si="22"/>
        <v>31</v>
      </c>
      <c r="I19" s="109">
        <v>31</v>
      </c>
      <c r="J19" s="109">
        <v>0</v>
      </c>
      <c r="K19" s="109">
        <v>0</v>
      </c>
      <c r="L19" s="113">
        <f>+NOMINA!F18</f>
        <v>0</v>
      </c>
      <c r="M19" s="113">
        <f t="shared" si="23"/>
        <v>0</v>
      </c>
      <c r="N19" s="108">
        <f t="shared" si="24"/>
        <v>741.87</v>
      </c>
      <c r="O19" s="108">
        <f t="shared" si="25"/>
        <v>0</v>
      </c>
      <c r="P19" s="108">
        <f t="shared" si="26"/>
        <v>0</v>
      </c>
      <c r="Q19" s="108">
        <f t="shared" si="27"/>
        <v>0</v>
      </c>
      <c r="R19" s="108">
        <f t="shared" si="28"/>
        <v>0</v>
      </c>
      <c r="S19" s="108">
        <f t="shared" si="29"/>
        <v>0</v>
      </c>
      <c r="T19" s="108">
        <f t="shared" si="30"/>
        <v>0</v>
      </c>
      <c r="U19" s="108">
        <f t="shared" si="31"/>
        <v>741.87</v>
      </c>
      <c r="V19" s="105"/>
      <c r="W19" s="108">
        <f t="shared" si="32"/>
        <v>0</v>
      </c>
      <c r="X19" s="108" t="e">
        <f>+ROUND(H19*M19*(VLOOKUP(M19,TABLAS!$B$29:$D$35,3,1)+1.125%),2)</f>
        <v>#N/A</v>
      </c>
      <c r="Y19" s="108">
        <f t="shared" si="33"/>
        <v>0</v>
      </c>
      <c r="Z19" s="108" t="e">
        <f t="shared" si="34"/>
        <v>#N/A</v>
      </c>
      <c r="AA19" s="105"/>
      <c r="AB19" s="108">
        <f t="shared" si="35"/>
        <v>741.87</v>
      </c>
      <c r="AC19" s="108" t="e">
        <f t="shared" si="36"/>
        <v>#N/A</v>
      </c>
      <c r="AD19" s="108">
        <f t="shared" si="37"/>
        <v>0</v>
      </c>
      <c r="AE19" s="108" t="e">
        <f t="shared" si="38"/>
        <v>#N/A</v>
      </c>
      <c r="AF19" s="105"/>
      <c r="AG19" s="108" t="e">
        <f t="shared" si="39"/>
        <v>#N/A</v>
      </c>
      <c r="AH19" s="108" t="e">
        <f t="shared" si="40"/>
        <v>#N/A</v>
      </c>
      <c r="AI19" s="108" t="e">
        <f t="shared" si="41"/>
        <v>#N/A</v>
      </c>
      <c r="AJ19" s="108" t="e">
        <f t="shared" si="42"/>
        <v>#N/A</v>
      </c>
      <c r="AK19" s="108" t="e">
        <f t="shared" si="43"/>
        <v>#N/A</v>
      </c>
      <c r="AL19" s="114" t="e">
        <f t="shared" si="44"/>
        <v>#N/A</v>
      </c>
      <c r="AM19" s="39"/>
    </row>
    <row r="20" spans="1:39" ht="12.75" customHeight="1" x14ac:dyDescent="0.25">
      <c r="A20" s="24">
        <f t="shared" si="21"/>
        <v>13</v>
      </c>
      <c r="B20" s="24"/>
      <c r="C20" s="24"/>
      <c r="D20" s="24"/>
      <c r="E20" s="24"/>
      <c r="F20" s="110" t="str">
        <f>NOMINA!B19</f>
        <v>Empleado 13</v>
      </c>
      <c r="G20" s="111" t="str">
        <f>NOMINA!C19</f>
        <v>Emp 013</v>
      </c>
      <c r="H20" s="112">
        <f t="shared" si="22"/>
        <v>31</v>
      </c>
      <c r="I20" s="109">
        <v>31</v>
      </c>
      <c r="J20" s="109">
        <v>0</v>
      </c>
      <c r="K20" s="109">
        <v>0</v>
      </c>
      <c r="L20" s="113">
        <f>+NOMINA!F19</f>
        <v>0</v>
      </c>
      <c r="M20" s="113">
        <f t="shared" si="23"/>
        <v>0</v>
      </c>
      <c r="N20" s="108">
        <f t="shared" si="24"/>
        <v>741.87</v>
      </c>
      <c r="O20" s="108">
        <f t="shared" si="25"/>
        <v>0</v>
      </c>
      <c r="P20" s="108">
        <f t="shared" si="26"/>
        <v>0</v>
      </c>
      <c r="Q20" s="108">
        <f t="shared" si="27"/>
        <v>0</v>
      </c>
      <c r="R20" s="108">
        <f t="shared" si="28"/>
        <v>0</v>
      </c>
      <c r="S20" s="108">
        <f t="shared" si="29"/>
        <v>0</v>
      </c>
      <c r="T20" s="108">
        <f t="shared" si="30"/>
        <v>0</v>
      </c>
      <c r="U20" s="108">
        <f t="shared" si="31"/>
        <v>741.87</v>
      </c>
      <c r="V20" s="105"/>
      <c r="W20" s="108">
        <f t="shared" si="32"/>
        <v>0</v>
      </c>
      <c r="X20" s="108" t="e">
        <f>+ROUND(H20*M20*(VLOOKUP(M20,TABLAS!$B$29:$D$35,3,1)+1.125%),2)</f>
        <v>#N/A</v>
      </c>
      <c r="Y20" s="108">
        <f t="shared" si="33"/>
        <v>0</v>
      </c>
      <c r="Z20" s="108" t="e">
        <f t="shared" si="34"/>
        <v>#N/A</v>
      </c>
      <c r="AA20" s="105"/>
      <c r="AB20" s="108">
        <f t="shared" si="35"/>
        <v>741.87</v>
      </c>
      <c r="AC20" s="108" t="e">
        <f t="shared" si="36"/>
        <v>#N/A</v>
      </c>
      <c r="AD20" s="108">
        <f t="shared" si="37"/>
        <v>0</v>
      </c>
      <c r="AE20" s="108" t="e">
        <f t="shared" si="38"/>
        <v>#N/A</v>
      </c>
      <c r="AF20" s="105"/>
      <c r="AG20" s="108" t="e">
        <f t="shared" si="39"/>
        <v>#N/A</v>
      </c>
      <c r="AH20" s="108" t="e">
        <f t="shared" si="40"/>
        <v>#N/A</v>
      </c>
      <c r="AI20" s="108" t="e">
        <f t="shared" si="41"/>
        <v>#N/A</v>
      </c>
      <c r="AJ20" s="108" t="e">
        <f t="shared" si="42"/>
        <v>#N/A</v>
      </c>
      <c r="AK20" s="108" t="e">
        <f t="shared" si="43"/>
        <v>#N/A</v>
      </c>
      <c r="AL20" s="114" t="e">
        <f t="shared" si="44"/>
        <v>#N/A</v>
      </c>
      <c r="AM20" s="39"/>
    </row>
    <row r="21" spans="1:39" ht="12.75" customHeight="1" x14ac:dyDescent="0.25">
      <c r="A21" s="24">
        <f t="shared" si="21"/>
        <v>14</v>
      </c>
      <c r="B21" s="24"/>
      <c r="C21" s="24"/>
      <c r="D21" s="24"/>
      <c r="E21" s="24"/>
      <c r="F21" s="110" t="str">
        <f>NOMINA!B20</f>
        <v>Empleado 14</v>
      </c>
      <c r="G21" s="111" t="str">
        <f>NOMINA!C20</f>
        <v>Emp 014</v>
      </c>
      <c r="H21" s="112">
        <f t="shared" si="22"/>
        <v>31</v>
      </c>
      <c r="I21" s="109">
        <v>31</v>
      </c>
      <c r="J21" s="109">
        <v>0</v>
      </c>
      <c r="K21" s="109">
        <v>0</v>
      </c>
      <c r="L21" s="113">
        <f>+NOMINA!F20</f>
        <v>0</v>
      </c>
      <c r="M21" s="113">
        <f t="shared" si="23"/>
        <v>0</v>
      </c>
      <c r="N21" s="108">
        <f t="shared" si="24"/>
        <v>741.87</v>
      </c>
      <c r="O21" s="108">
        <f t="shared" si="25"/>
        <v>0</v>
      </c>
      <c r="P21" s="108">
        <f t="shared" si="26"/>
        <v>0</v>
      </c>
      <c r="Q21" s="108">
        <f t="shared" si="27"/>
        <v>0</v>
      </c>
      <c r="R21" s="108">
        <f t="shared" si="28"/>
        <v>0</v>
      </c>
      <c r="S21" s="108">
        <f t="shared" si="29"/>
        <v>0</v>
      </c>
      <c r="T21" s="108">
        <f t="shared" si="30"/>
        <v>0</v>
      </c>
      <c r="U21" s="108">
        <f t="shared" si="31"/>
        <v>741.87</v>
      </c>
      <c r="V21" s="105"/>
      <c r="W21" s="108">
        <f t="shared" si="32"/>
        <v>0</v>
      </c>
      <c r="X21" s="108" t="e">
        <f>+ROUND(H21*M21*(VLOOKUP(M21,TABLAS!$B$29:$D$35,3,1)+1.125%),2)</f>
        <v>#N/A</v>
      </c>
      <c r="Y21" s="108">
        <f t="shared" si="33"/>
        <v>0</v>
      </c>
      <c r="Z21" s="108" t="e">
        <f t="shared" si="34"/>
        <v>#N/A</v>
      </c>
      <c r="AA21" s="105"/>
      <c r="AB21" s="108">
        <f t="shared" si="35"/>
        <v>741.87</v>
      </c>
      <c r="AC21" s="108" t="e">
        <f t="shared" si="36"/>
        <v>#N/A</v>
      </c>
      <c r="AD21" s="108">
        <f t="shared" si="37"/>
        <v>0</v>
      </c>
      <c r="AE21" s="108" t="e">
        <f t="shared" si="38"/>
        <v>#N/A</v>
      </c>
      <c r="AF21" s="105"/>
      <c r="AG21" s="108" t="e">
        <f t="shared" si="39"/>
        <v>#N/A</v>
      </c>
      <c r="AH21" s="108" t="e">
        <f t="shared" si="40"/>
        <v>#N/A</v>
      </c>
      <c r="AI21" s="108" t="e">
        <f t="shared" si="41"/>
        <v>#N/A</v>
      </c>
      <c r="AJ21" s="108" t="e">
        <f t="shared" si="42"/>
        <v>#N/A</v>
      </c>
      <c r="AK21" s="108" t="e">
        <f t="shared" si="43"/>
        <v>#N/A</v>
      </c>
      <c r="AL21" s="114" t="e">
        <f t="shared" si="44"/>
        <v>#N/A</v>
      </c>
      <c r="AM21" s="39"/>
    </row>
    <row r="22" spans="1:39" ht="12.75" customHeight="1" x14ac:dyDescent="0.25">
      <c r="A22" s="24">
        <f t="shared" si="21"/>
        <v>15</v>
      </c>
      <c r="B22" s="24"/>
      <c r="C22" s="24"/>
      <c r="D22" s="24"/>
      <c r="E22" s="24"/>
      <c r="F22" s="110" t="str">
        <f>NOMINA!B21</f>
        <v>Empleado 15</v>
      </c>
      <c r="G22" s="111" t="str">
        <f>NOMINA!C21</f>
        <v>Emp 015</v>
      </c>
      <c r="H22" s="112">
        <f t="shared" si="22"/>
        <v>31</v>
      </c>
      <c r="I22" s="109">
        <v>31</v>
      </c>
      <c r="J22" s="109">
        <v>0</v>
      </c>
      <c r="K22" s="109">
        <v>0</v>
      </c>
      <c r="L22" s="113">
        <f>+NOMINA!F21</f>
        <v>0</v>
      </c>
      <c r="M22" s="113">
        <f t="shared" si="23"/>
        <v>0</v>
      </c>
      <c r="N22" s="108">
        <f t="shared" si="24"/>
        <v>741.87</v>
      </c>
      <c r="O22" s="108">
        <f t="shared" si="25"/>
        <v>0</v>
      </c>
      <c r="P22" s="108">
        <f t="shared" si="26"/>
        <v>0</v>
      </c>
      <c r="Q22" s="108">
        <f t="shared" si="27"/>
        <v>0</v>
      </c>
      <c r="R22" s="108">
        <f t="shared" si="28"/>
        <v>0</v>
      </c>
      <c r="S22" s="108">
        <f t="shared" si="29"/>
        <v>0</v>
      </c>
      <c r="T22" s="108">
        <f t="shared" si="30"/>
        <v>0</v>
      </c>
      <c r="U22" s="108">
        <f t="shared" si="31"/>
        <v>741.87</v>
      </c>
      <c r="V22" s="105"/>
      <c r="W22" s="108">
        <f t="shared" si="32"/>
        <v>0</v>
      </c>
      <c r="X22" s="108" t="e">
        <f>+ROUND(H22*M22*(VLOOKUP(M22,TABLAS!$B$29:$D$35,3,1)+1.125%),2)</f>
        <v>#N/A</v>
      </c>
      <c r="Y22" s="108">
        <f t="shared" si="33"/>
        <v>0</v>
      </c>
      <c r="Z22" s="108" t="e">
        <f t="shared" si="34"/>
        <v>#N/A</v>
      </c>
      <c r="AA22" s="105"/>
      <c r="AB22" s="108">
        <f t="shared" si="35"/>
        <v>741.87</v>
      </c>
      <c r="AC22" s="108" t="e">
        <f t="shared" si="36"/>
        <v>#N/A</v>
      </c>
      <c r="AD22" s="108">
        <f t="shared" si="37"/>
        <v>0</v>
      </c>
      <c r="AE22" s="108" t="e">
        <f t="shared" si="38"/>
        <v>#N/A</v>
      </c>
      <c r="AF22" s="105"/>
      <c r="AG22" s="108" t="e">
        <f t="shared" si="39"/>
        <v>#N/A</v>
      </c>
      <c r="AH22" s="108" t="e">
        <f t="shared" si="40"/>
        <v>#N/A</v>
      </c>
      <c r="AI22" s="108" t="e">
        <f t="shared" si="41"/>
        <v>#N/A</v>
      </c>
      <c r="AJ22" s="108" t="e">
        <f t="shared" si="42"/>
        <v>#N/A</v>
      </c>
      <c r="AK22" s="108" t="e">
        <f t="shared" si="43"/>
        <v>#N/A</v>
      </c>
      <c r="AL22" s="114" t="e">
        <f t="shared" si="44"/>
        <v>#N/A</v>
      </c>
      <c r="AM22" s="39"/>
    </row>
    <row r="23" spans="1:39" ht="12.75" customHeight="1" x14ac:dyDescent="0.25">
      <c r="A23" s="24">
        <f t="shared" si="21"/>
        <v>16</v>
      </c>
      <c r="B23" s="24"/>
      <c r="C23" s="24"/>
      <c r="D23" s="24"/>
      <c r="E23" s="24"/>
      <c r="F23" s="110" t="str">
        <f>NOMINA!B22</f>
        <v>Empleado 16</v>
      </c>
      <c r="G23" s="111" t="str">
        <f>NOMINA!C22</f>
        <v>Emp 016</v>
      </c>
      <c r="H23" s="112">
        <f t="shared" si="22"/>
        <v>31</v>
      </c>
      <c r="I23" s="109">
        <v>31</v>
      </c>
      <c r="J23" s="109">
        <v>0</v>
      </c>
      <c r="K23" s="109">
        <v>0</v>
      </c>
      <c r="L23" s="113">
        <f>+NOMINA!F22</f>
        <v>0</v>
      </c>
      <c r="M23" s="113">
        <f t="shared" si="23"/>
        <v>0</v>
      </c>
      <c r="N23" s="108">
        <f t="shared" si="24"/>
        <v>741.87</v>
      </c>
      <c r="O23" s="108">
        <f t="shared" si="25"/>
        <v>0</v>
      </c>
      <c r="P23" s="108">
        <f t="shared" si="26"/>
        <v>0</v>
      </c>
      <c r="Q23" s="108">
        <f t="shared" si="27"/>
        <v>0</v>
      </c>
      <c r="R23" s="108">
        <f t="shared" si="28"/>
        <v>0</v>
      </c>
      <c r="S23" s="108">
        <f t="shared" si="29"/>
        <v>0</v>
      </c>
      <c r="T23" s="108">
        <f t="shared" si="30"/>
        <v>0</v>
      </c>
      <c r="U23" s="108">
        <f t="shared" si="31"/>
        <v>741.87</v>
      </c>
      <c r="V23" s="105"/>
      <c r="W23" s="108">
        <f t="shared" si="32"/>
        <v>0</v>
      </c>
      <c r="X23" s="108" t="e">
        <f>+ROUND(H23*M23*(VLOOKUP(M23,TABLAS!$B$29:$D$35,3,1)+1.125%),2)</f>
        <v>#N/A</v>
      </c>
      <c r="Y23" s="108">
        <f t="shared" si="33"/>
        <v>0</v>
      </c>
      <c r="Z23" s="108" t="e">
        <f t="shared" si="34"/>
        <v>#N/A</v>
      </c>
      <c r="AA23" s="105"/>
      <c r="AB23" s="108">
        <f t="shared" si="35"/>
        <v>741.87</v>
      </c>
      <c r="AC23" s="108" t="e">
        <f t="shared" si="36"/>
        <v>#N/A</v>
      </c>
      <c r="AD23" s="108">
        <f t="shared" si="37"/>
        <v>0</v>
      </c>
      <c r="AE23" s="108" t="e">
        <f t="shared" si="38"/>
        <v>#N/A</v>
      </c>
      <c r="AF23" s="105"/>
      <c r="AG23" s="108" t="e">
        <f t="shared" si="39"/>
        <v>#N/A</v>
      </c>
      <c r="AH23" s="108" t="e">
        <f t="shared" si="40"/>
        <v>#N/A</v>
      </c>
      <c r="AI23" s="108" t="e">
        <f t="shared" si="41"/>
        <v>#N/A</v>
      </c>
      <c r="AJ23" s="108" t="e">
        <f t="shared" si="42"/>
        <v>#N/A</v>
      </c>
      <c r="AK23" s="108" t="e">
        <f t="shared" si="43"/>
        <v>#N/A</v>
      </c>
      <c r="AL23" s="114" t="e">
        <f t="shared" si="44"/>
        <v>#N/A</v>
      </c>
      <c r="AM23" s="39"/>
    </row>
    <row r="24" spans="1:39" ht="12.75" customHeight="1" x14ac:dyDescent="0.25">
      <c r="A24" s="24">
        <f t="shared" si="21"/>
        <v>17</v>
      </c>
      <c r="B24" s="24"/>
      <c r="C24" s="24"/>
      <c r="D24" s="24"/>
      <c r="E24" s="24"/>
      <c r="F24" s="110" t="str">
        <f>NOMINA!B23</f>
        <v>Empleado 17</v>
      </c>
      <c r="G24" s="111" t="str">
        <f>NOMINA!C23</f>
        <v>Emp 017</v>
      </c>
      <c r="H24" s="112">
        <f t="shared" ref="H24:H87" si="45">+I24-J24-K24</f>
        <v>31</v>
      </c>
      <c r="I24" s="109">
        <v>31</v>
      </c>
      <c r="J24" s="109">
        <v>0</v>
      </c>
      <c r="K24" s="109">
        <v>0</v>
      </c>
      <c r="L24" s="113">
        <f>+NOMINA!F23</f>
        <v>0</v>
      </c>
      <c r="M24" s="113">
        <f t="shared" ref="M24:M87" si="46">IF(L24*1.0493&gt;$L$2*25,$L$2*25,L24*1.0493)</f>
        <v>0</v>
      </c>
      <c r="N24" s="108">
        <f t="shared" ref="N24:N87" si="47">+ROUND($L$2*$N$6*I24,2)</f>
        <v>741.87</v>
      </c>
      <c r="O24" s="108">
        <f t="shared" ref="O24:O87" si="48">+IF(M24&gt;$M$2,M24-$M$2,0)*$O$6*I24</f>
        <v>0</v>
      </c>
      <c r="P24" s="108">
        <f t="shared" ref="P24:P87" si="49">+ROUND(M24*$P$6*I24,2)</f>
        <v>0</v>
      </c>
      <c r="Q24" s="108">
        <f t="shared" ref="Q24:Q87" si="50">+ROUND(M24*$Q$6*I24,2)</f>
        <v>0</v>
      </c>
      <c r="R24" s="108">
        <f t="shared" ref="R24:R87" si="51">+ROUND(M24*$R$6*I24,2)</f>
        <v>0</v>
      </c>
      <c r="S24" s="108">
        <f t="shared" ref="S24:S87" si="52">+ROUND(M24*$S$6*I24,2)</f>
        <v>0</v>
      </c>
      <c r="T24" s="108">
        <f t="shared" ref="T24:T87" si="53">+ROUND(M24*$T$6*I24,2)</f>
        <v>0</v>
      </c>
      <c r="U24" s="108">
        <f t="shared" ref="U24:U87" si="54">+SUM(N24:T24)</f>
        <v>741.87</v>
      </c>
      <c r="V24" s="105"/>
      <c r="W24" s="108">
        <f t="shared" ref="W24:W87" si="55">+ROUND(I24*M24*$W$6,2)</f>
        <v>0</v>
      </c>
      <c r="X24" s="108" t="e">
        <f>+ROUND(H24*M24*(VLOOKUP(M24,TABLAS!$B$29:$D$35,3,1)+1.125%),2)</f>
        <v>#N/A</v>
      </c>
      <c r="Y24" s="108">
        <f t="shared" ref="Y24:Y87" si="56">+ROUND(H24*M24*$Y$6,2)</f>
        <v>0</v>
      </c>
      <c r="Z24" s="108" t="e">
        <f t="shared" ref="Z24:Z87" si="57">+SUM(W24:Y24)</f>
        <v>#N/A</v>
      </c>
      <c r="AA24" s="105"/>
      <c r="AB24" s="108">
        <f t="shared" ref="AB24:AB87" si="58">+U24</f>
        <v>741.87</v>
      </c>
      <c r="AC24" s="108" t="e">
        <f t="shared" ref="AC24:AC87" si="59">+Z24</f>
        <v>#N/A</v>
      </c>
      <c r="AD24" s="108">
        <f t="shared" ref="AD24:AD87" si="60">+H24*L24*4%</f>
        <v>0</v>
      </c>
      <c r="AE24" s="108" t="e">
        <f t="shared" ref="AE24:AE87" si="61">+SUM(AB24:AD24)</f>
        <v>#N/A</v>
      </c>
      <c r="AF24" s="105"/>
      <c r="AG24" s="108" t="e">
        <f t="shared" ref="AG24:AG87" si="62">+AE24+AJ24</f>
        <v>#N/A</v>
      </c>
      <c r="AH24" s="108" t="e">
        <f t="shared" ref="AH24:AH87" si="63">+AG24*16%</f>
        <v>#N/A</v>
      </c>
      <c r="AI24" s="108" t="e">
        <f t="shared" ref="AI24:AI87" si="64">+AG24+AH24</f>
        <v>#N/A</v>
      </c>
      <c r="AJ24" s="108" t="e">
        <f t="shared" ref="AJ24:AJ87" si="65">+AE24*7.21%</f>
        <v>#N/A</v>
      </c>
      <c r="AK24" s="108" t="e">
        <f t="shared" ref="AK24:AK87" si="66">AL24*31</f>
        <v>#N/A</v>
      </c>
      <c r="AL24" s="114" t="e">
        <f t="shared" ref="AL24:AL87" si="67">AE24/30.4</f>
        <v>#N/A</v>
      </c>
      <c r="AM24" s="39"/>
    </row>
    <row r="25" spans="1:39" ht="12.75" customHeight="1" x14ac:dyDescent="0.25">
      <c r="A25" s="24">
        <f t="shared" si="21"/>
        <v>18</v>
      </c>
      <c r="B25" s="24"/>
      <c r="C25" s="24"/>
      <c r="D25" s="24"/>
      <c r="E25" s="24"/>
      <c r="F25" s="110" t="str">
        <f>NOMINA!B24</f>
        <v>Empleado 18</v>
      </c>
      <c r="G25" s="111" t="str">
        <f>NOMINA!C24</f>
        <v>Emp 018</v>
      </c>
      <c r="H25" s="112">
        <f t="shared" si="45"/>
        <v>31</v>
      </c>
      <c r="I25" s="109">
        <v>31</v>
      </c>
      <c r="J25" s="109">
        <v>0</v>
      </c>
      <c r="K25" s="109">
        <v>0</v>
      </c>
      <c r="L25" s="113">
        <f>+NOMINA!F24</f>
        <v>0</v>
      </c>
      <c r="M25" s="113">
        <f t="shared" si="46"/>
        <v>0</v>
      </c>
      <c r="N25" s="108">
        <f t="shared" si="47"/>
        <v>741.87</v>
      </c>
      <c r="O25" s="108">
        <f t="shared" si="48"/>
        <v>0</v>
      </c>
      <c r="P25" s="108">
        <f t="shared" si="49"/>
        <v>0</v>
      </c>
      <c r="Q25" s="108">
        <f t="shared" si="50"/>
        <v>0</v>
      </c>
      <c r="R25" s="108">
        <f t="shared" si="51"/>
        <v>0</v>
      </c>
      <c r="S25" s="108">
        <f t="shared" si="52"/>
        <v>0</v>
      </c>
      <c r="T25" s="108">
        <f t="shared" si="53"/>
        <v>0</v>
      </c>
      <c r="U25" s="108">
        <f t="shared" si="54"/>
        <v>741.87</v>
      </c>
      <c r="V25" s="105"/>
      <c r="W25" s="108">
        <f t="shared" si="55"/>
        <v>0</v>
      </c>
      <c r="X25" s="108" t="e">
        <f>+ROUND(H25*M25*(VLOOKUP(M25,TABLAS!$B$29:$D$35,3,1)+1.125%),2)</f>
        <v>#N/A</v>
      </c>
      <c r="Y25" s="108">
        <f t="shared" si="56"/>
        <v>0</v>
      </c>
      <c r="Z25" s="108" t="e">
        <f t="shared" si="57"/>
        <v>#N/A</v>
      </c>
      <c r="AA25" s="105"/>
      <c r="AB25" s="108">
        <f t="shared" si="58"/>
        <v>741.87</v>
      </c>
      <c r="AC25" s="108" t="e">
        <f t="shared" si="59"/>
        <v>#N/A</v>
      </c>
      <c r="AD25" s="108">
        <f t="shared" si="60"/>
        <v>0</v>
      </c>
      <c r="AE25" s="108" t="e">
        <f t="shared" si="61"/>
        <v>#N/A</v>
      </c>
      <c r="AF25" s="105"/>
      <c r="AG25" s="108" t="e">
        <f t="shared" si="62"/>
        <v>#N/A</v>
      </c>
      <c r="AH25" s="108" t="e">
        <f t="shared" si="63"/>
        <v>#N/A</v>
      </c>
      <c r="AI25" s="108" t="e">
        <f t="shared" si="64"/>
        <v>#N/A</v>
      </c>
      <c r="AJ25" s="108" t="e">
        <f t="shared" si="65"/>
        <v>#N/A</v>
      </c>
      <c r="AK25" s="108" t="e">
        <f t="shared" si="66"/>
        <v>#N/A</v>
      </c>
      <c r="AL25" s="114" t="e">
        <f t="shared" si="67"/>
        <v>#N/A</v>
      </c>
      <c r="AM25" s="39"/>
    </row>
    <row r="26" spans="1:39" ht="12.75" customHeight="1" x14ac:dyDescent="0.25">
      <c r="A26" s="24">
        <f t="shared" si="21"/>
        <v>19</v>
      </c>
      <c r="B26" s="24"/>
      <c r="C26" s="24"/>
      <c r="D26" s="24"/>
      <c r="E26" s="24"/>
      <c r="F26" s="110" t="str">
        <f>NOMINA!B25</f>
        <v>Empleado 19</v>
      </c>
      <c r="G26" s="111" t="str">
        <f>NOMINA!C25</f>
        <v>Emp 019</v>
      </c>
      <c r="H26" s="112">
        <f t="shared" si="45"/>
        <v>31</v>
      </c>
      <c r="I26" s="109">
        <v>31</v>
      </c>
      <c r="J26" s="109">
        <v>0</v>
      </c>
      <c r="K26" s="109">
        <v>0</v>
      </c>
      <c r="L26" s="113">
        <f>+NOMINA!F25</f>
        <v>0</v>
      </c>
      <c r="M26" s="113">
        <f t="shared" si="46"/>
        <v>0</v>
      </c>
      <c r="N26" s="108">
        <f t="shared" si="47"/>
        <v>741.87</v>
      </c>
      <c r="O26" s="108">
        <f t="shared" si="48"/>
        <v>0</v>
      </c>
      <c r="P26" s="108">
        <f t="shared" si="49"/>
        <v>0</v>
      </c>
      <c r="Q26" s="108">
        <f t="shared" si="50"/>
        <v>0</v>
      </c>
      <c r="R26" s="108">
        <f t="shared" si="51"/>
        <v>0</v>
      </c>
      <c r="S26" s="108">
        <f t="shared" si="52"/>
        <v>0</v>
      </c>
      <c r="T26" s="108">
        <f t="shared" si="53"/>
        <v>0</v>
      </c>
      <c r="U26" s="108">
        <f t="shared" si="54"/>
        <v>741.87</v>
      </c>
      <c r="V26" s="105"/>
      <c r="W26" s="108">
        <f t="shared" si="55"/>
        <v>0</v>
      </c>
      <c r="X26" s="108" t="e">
        <f>+ROUND(H26*M26*(VLOOKUP(M26,TABLAS!$B$29:$D$35,3,1)+1.125%),2)</f>
        <v>#N/A</v>
      </c>
      <c r="Y26" s="108">
        <f t="shared" si="56"/>
        <v>0</v>
      </c>
      <c r="Z26" s="108" t="e">
        <f t="shared" si="57"/>
        <v>#N/A</v>
      </c>
      <c r="AA26" s="105"/>
      <c r="AB26" s="108">
        <f t="shared" si="58"/>
        <v>741.87</v>
      </c>
      <c r="AC26" s="108" t="e">
        <f t="shared" si="59"/>
        <v>#N/A</v>
      </c>
      <c r="AD26" s="108">
        <f t="shared" si="60"/>
        <v>0</v>
      </c>
      <c r="AE26" s="108" t="e">
        <f t="shared" si="61"/>
        <v>#N/A</v>
      </c>
      <c r="AF26" s="105"/>
      <c r="AG26" s="108" t="e">
        <f t="shared" si="62"/>
        <v>#N/A</v>
      </c>
      <c r="AH26" s="108" t="e">
        <f t="shared" si="63"/>
        <v>#N/A</v>
      </c>
      <c r="AI26" s="108" t="e">
        <f t="shared" si="64"/>
        <v>#N/A</v>
      </c>
      <c r="AJ26" s="108" t="e">
        <f t="shared" si="65"/>
        <v>#N/A</v>
      </c>
      <c r="AK26" s="108" t="e">
        <f t="shared" si="66"/>
        <v>#N/A</v>
      </c>
      <c r="AL26" s="114" t="e">
        <f t="shared" si="67"/>
        <v>#N/A</v>
      </c>
      <c r="AM26" s="39"/>
    </row>
    <row r="27" spans="1:39" ht="12.75" customHeight="1" x14ac:dyDescent="0.25">
      <c r="A27" s="24">
        <f t="shared" si="21"/>
        <v>20</v>
      </c>
      <c r="B27" s="24"/>
      <c r="C27" s="24"/>
      <c r="D27" s="24"/>
      <c r="E27" s="24"/>
      <c r="F27" s="110" t="str">
        <f>NOMINA!B26</f>
        <v>Empleado 20</v>
      </c>
      <c r="G27" s="111" t="str">
        <f>NOMINA!C26</f>
        <v>Emp 020</v>
      </c>
      <c r="H27" s="112">
        <f t="shared" si="45"/>
        <v>31</v>
      </c>
      <c r="I27" s="109">
        <v>31</v>
      </c>
      <c r="J27" s="109">
        <v>0</v>
      </c>
      <c r="K27" s="109">
        <v>0</v>
      </c>
      <c r="L27" s="113">
        <f>+NOMINA!F26</f>
        <v>0</v>
      </c>
      <c r="M27" s="113">
        <f t="shared" si="46"/>
        <v>0</v>
      </c>
      <c r="N27" s="108">
        <f t="shared" si="47"/>
        <v>741.87</v>
      </c>
      <c r="O27" s="108">
        <f t="shared" si="48"/>
        <v>0</v>
      </c>
      <c r="P27" s="108">
        <f t="shared" si="49"/>
        <v>0</v>
      </c>
      <c r="Q27" s="108">
        <f t="shared" si="50"/>
        <v>0</v>
      </c>
      <c r="R27" s="108">
        <f t="shared" si="51"/>
        <v>0</v>
      </c>
      <c r="S27" s="108">
        <f t="shared" si="52"/>
        <v>0</v>
      </c>
      <c r="T27" s="108">
        <f t="shared" si="53"/>
        <v>0</v>
      </c>
      <c r="U27" s="108">
        <f t="shared" si="54"/>
        <v>741.87</v>
      </c>
      <c r="V27" s="105"/>
      <c r="W27" s="108">
        <f t="shared" si="55"/>
        <v>0</v>
      </c>
      <c r="X27" s="108" t="e">
        <f>+ROUND(H27*M27*(VLOOKUP(M27,TABLAS!$B$29:$D$35,3,1)+1.125%),2)</f>
        <v>#N/A</v>
      </c>
      <c r="Y27" s="108">
        <f t="shared" si="56"/>
        <v>0</v>
      </c>
      <c r="Z27" s="108" t="e">
        <f t="shared" si="57"/>
        <v>#N/A</v>
      </c>
      <c r="AA27" s="105"/>
      <c r="AB27" s="108">
        <f t="shared" si="58"/>
        <v>741.87</v>
      </c>
      <c r="AC27" s="108" t="e">
        <f t="shared" si="59"/>
        <v>#N/A</v>
      </c>
      <c r="AD27" s="108">
        <f t="shared" si="60"/>
        <v>0</v>
      </c>
      <c r="AE27" s="108" t="e">
        <f t="shared" si="61"/>
        <v>#N/A</v>
      </c>
      <c r="AF27" s="105"/>
      <c r="AG27" s="108" t="e">
        <f t="shared" si="62"/>
        <v>#N/A</v>
      </c>
      <c r="AH27" s="108" t="e">
        <f t="shared" si="63"/>
        <v>#N/A</v>
      </c>
      <c r="AI27" s="108" t="e">
        <f t="shared" si="64"/>
        <v>#N/A</v>
      </c>
      <c r="AJ27" s="108" t="e">
        <f t="shared" si="65"/>
        <v>#N/A</v>
      </c>
      <c r="AK27" s="108" t="e">
        <f t="shared" si="66"/>
        <v>#N/A</v>
      </c>
      <c r="AL27" s="114" t="e">
        <f t="shared" si="67"/>
        <v>#N/A</v>
      </c>
      <c r="AM27" s="39"/>
    </row>
    <row r="28" spans="1:39" ht="12.75" customHeight="1" x14ac:dyDescent="0.25">
      <c r="A28" s="24">
        <f t="shared" si="21"/>
        <v>21</v>
      </c>
      <c r="B28" s="24"/>
      <c r="C28" s="24"/>
      <c r="D28" s="24"/>
      <c r="E28" s="24"/>
      <c r="F28" s="110" t="str">
        <f>NOMINA!B27</f>
        <v>Empleado 21</v>
      </c>
      <c r="G28" s="111" t="str">
        <f>NOMINA!C27</f>
        <v>Emp 021</v>
      </c>
      <c r="H28" s="112">
        <f t="shared" si="45"/>
        <v>31</v>
      </c>
      <c r="I28" s="109">
        <v>31</v>
      </c>
      <c r="J28" s="109">
        <v>0</v>
      </c>
      <c r="K28" s="109">
        <v>0</v>
      </c>
      <c r="L28" s="113">
        <f>+NOMINA!F27</f>
        <v>0</v>
      </c>
      <c r="M28" s="113">
        <f t="shared" si="46"/>
        <v>0</v>
      </c>
      <c r="N28" s="108">
        <f t="shared" si="47"/>
        <v>741.87</v>
      </c>
      <c r="O28" s="108">
        <f t="shared" si="48"/>
        <v>0</v>
      </c>
      <c r="P28" s="108">
        <f t="shared" si="49"/>
        <v>0</v>
      </c>
      <c r="Q28" s="108">
        <f t="shared" si="50"/>
        <v>0</v>
      </c>
      <c r="R28" s="108">
        <f t="shared" si="51"/>
        <v>0</v>
      </c>
      <c r="S28" s="108">
        <f t="shared" si="52"/>
        <v>0</v>
      </c>
      <c r="T28" s="108">
        <f t="shared" si="53"/>
        <v>0</v>
      </c>
      <c r="U28" s="108">
        <f t="shared" si="54"/>
        <v>741.87</v>
      </c>
      <c r="V28" s="105"/>
      <c r="W28" s="108">
        <f t="shared" si="55"/>
        <v>0</v>
      </c>
      <c r="X28" s="108" t="e">
        <f>+ROUND(H28*M28*(VLOOKUP(M28,TABLAS!$B$29:$D$35,3,1)+1.125%),2)</f>
        <v>#N/A</v>
      </c>
      <c r="Y28" s="108">
        <f t="shared" si="56"/>
        <v>0</v>
      </c>
      <c r="Z28" s="108" t="e">
        <f t="shared" si="57"/>
        <v>#N/A</v>
      </c>
      <c r="AA28" s="105"/>
      <c r="AB28" s="108">
        <f t="shared" si="58"/>
        <v>741.87</v>
      </c>
      <c r="AC28" s="108" t="e">
        <f t="shared" si="59"/>
        <v>#N/A</v>
      </c>
      <c r="AD28" s="108">
        <f t="shared" si="60"/>
        <v>0</v>
      </c>
      <c r="AE28" s="108" t="e">
        <f t="shared" si="61"/>
        <v>#N/A</v>
      </c>
      <c r="AF28" s="105"/>
      <c r="AG28" s="108" t="e">
        <f t="shared" si="62"/>
        <v>#N/A</v>
      </c>
      <c r="AH28" s="108" t="e">
        <f t="shared" si="63"/>
        <v>#N/A</v>
      </c>
      <c r="AI28" s="108" t="e">
        <f t="shared" si="64"/>
        <v>#N/A</v>
      </c>
      <c r="AJ28" s="108" t="e">
        <f t="shared" si="65"/>
        <v>#N/A</v>
      </c>
      <c r="AK28" s="108" t="e">
        <f t="shared" si="66"/>
        <v>#N/A</v>
      </c>
      <c r="AL28" s="114" t="e">
        <f t="shared" si="67"/>
        <v>#N/A</v>
      </c>
      <c r="AM28" s="39"/>
    </row>
    <row r="29" spans="1:39" ht="12.75" customHeight="1" x14ac:dyDescent="0.25">
      <c r="A29" s="24">
        <f t="shared" si="21"/>
        <v>22</v>
      </c>
      <c r="B29" s="24"/>
      <c r="C29" s="24"/>
      <c r="D29" s="24"/>
      <c r="E29" s="24"/>
      <c r="F29" s="110" t="str">
        <f>NOMINA!B28</f>
        <v>Empleado 22</v>
      </c>
      <c r="G29" s="111" t="str">
        <f>NOMINA!C28</f>
        <v>Emp 022</v>
      </c>
      <c r="H29" s="112">
        <f t="shared" si="45"/>
        <v>31</v>
      </c>
      <c r="I29" s="109">
        <v>31</v>
      </c>
      <c r="J29" s="109">
        <v>0</v>
      </c>
      <c r="K29" s="109">
        <v>0</v>
      </c>
      <c r="L29" s="113">
        <f>+NOMINA!F28</f>
        <v>0</v>
      </c>
      <c r="M29" s="113">
        <f t="shared" si="46"/>
        <v>0</v>
      </c>
      <c r="N29" s="108">
        <f t="shared" si="47"/>
        <v>741.87</v>
      </c>
      <c r="O29" s="108">
        <f t="shared" si="48"/>
        <v>0</v>
      </c>
      <c r="P29" s="108">
        <f t="shared" si="49"/>
        <v>0</v>
      </c>
      <c r="Q29" s="108">
        <f t="shared" si="50"/>
        <v>0</v>
      </c>
      <c r="R29" s="108">
        <f t="shared" si="51"/>
        <v>0</v>
      </c>
      <c r="S29" s="108">
        <f t="shared" si="52"/>
        <v>0</v>
      </c>
      <c r="T29" s="108">
        <f t="shared" si="53"/>
        <v>0</v>
      </c>
      <c r="U29" s="108">
        <f t="shared" si="54"/>
        <v>741.87</v>
      </c>
      <c r="V29" s="105"/>
      <c r="W29" s="108">
        <f t="shared" si="55"/>
        <v>0</v>
      </c>
      <c r="X29" s="108" t="e">
        <f>+ROUND(H29*M29*(VLOOKUP(M29,TABLAS!$B$29:$D$35,3,1)+1.125%),2)</f>
        <v>#N/A</v>
      </c>
      <c r="Y29" s="108">
        <f t="shared" si="56"/>
        <v>0</v>
      </c>
      <c r="Z29" s="108" t="e">
        <f t="shared" si="57"/>
        <v>#N/A</v>
      </c>
      <c r="AA29" s="105"/>
      <c r="AB29" s="108">
        <f t="shared" si="58"/>
        <v>741.87</v>
      </c>
      <c r="AC29" s="108" t="e">
        <f t="shared" si="59"/>
        <v>#N/A</v>
      </c>
      <c r="AD29" s="108">
        <f t="shared" si="60"/>
        <v>0</v>
      </c>
      <c r="AE29" s="108" t="e">
        <f t="shared" si="61"/>
        <v>#N/A</v>
      </c>
      <c r="AF29" s="105"/>
      <c r="AG29" s="108" t="e">
        <f t="shared" si="62"/>
        <v>#N/A</v>
      </c>
      <c r="AH29" s="108" t="e">
        <f t="shared" si="63"/>
        <v>#N/A</v>
      </c>
      <c r="AI29" s="108" t="e">
        <f t="shared" si="64"/>
        <v>#N/A</v>
      </c>
      <c r="AJ29" s="108" t="e">
        <f t="shared" si="65"/>
        <v>#N/A</v>
      </c>
      <c r="AK29" s="108" t="e">
        <f t="shared" si="66"/>
        <v>#N/A</v>
      </c>
      <c r="AL29" s="114" t="e">
        <f t="shared" si="67"/>
        <v>#N/A</v>
      </c>
      <c r="AM29" s="39"/>
    </row>
    <row r="30" spans="1:39" ht="12.75" customHeight="1" x14ac:dyDescent="0.25">
      <c r="A30" s="24">
        <f t="shared" si="21"/>
        <v>23</v>
      </c>
      <c r="B30" s="24"/>
      <c r="C30" s="24"/>
      <c r="D30" s="24"/>
      <c r="E30" s="24"/>
      <c r="F30" s="110" t="str">
        <f>NOMINA!B29</f>
        <v>Empleado 23</v>
      </c>
      <c r="G30" s="111" t="str">
        <f>NOMINA!C29</f>
        <v>Emp 023</v>
      </c>
      <c r="H30" s="112">
        <f t="shared" si="45"/>
        <v>31</v>
      </c>
      <c r="I30" s="109">
        <v>31</v>
      </c>
      <c r="J30" s="109">
        <v>0</v>
      </c>
      <c r="K30" s="109">
        <v>0</v>
      </c>
      <c r="L30" s="113">
        <f>+NOMINA!F29</f>
        <v>0</v>
      </c>
      <c r="M30" s="113">
        <f t="shared" si="46"/>
        <v>0</v>
      </c>
      <c r="N30" s="108">
        <f t="shared" si="47"/>
        <v>741.87</v>
      </c>
      <c r="O30" s="108">
        <f t="shared" si="48"/>
        <v>0</v>
      </c>
      <c r="P30" s="108">
        <f t="shared" si="49"/>
        <v>0</v>
      </c>
      <c r="Q30" s="108">
        <f t="shared" si="50"/>
        <v>0</v>
      </c>
      <c r="R30" s="108">
        <f t="shared" si="51"/>
        <v>0</v>
      </c>
      <c r="S30" s="108">
        <f t="shared" si="52"/>
        <v>0</v>
      </c>
      <c r="T30" s="108">
        <f t="shared" si="53"/>
        <v>0</v>
      </c>
      <c r="U30" s="108">
        <f t="shared" si="54"/>
        <v>741.87</v>
      </c>
      <c r="V30" s="105"/>
      <c r="W30" s="108">
        <f t="shared" si="55"/>
        <v>0</v>
      </c>
      <c r="X30" s="108" t="e">
        <f>+ROUND(H30*M30*(VLOOKUP(M30,TABLAS!$B$29:$D$35,3,1)+1.125%),2)</f>
        <v>#N/A</v>
      </c>
      <c r="Y30" s="108">
        <f t="shared" si="56"/>
        <v>0</v>
      </c>
      <c r="Z30" s="108" t="e">
        <f t="shared" si="57"/>
        <v>#N/A</v>
      </c>
      <c r="AA30" s="105"/>
      <c r="AB30" s="108">
        <f t="shared" si="58"/>
        <v>741.87</v>
      </c>
      <c r="AC30" s="108" t="e">
        <f t="shared" si="59"/>
        <v>#N/A</v>
      </c>
      <c r="AD30" s="108">
        <f t="shared" si="60"/>
        <v>0</v>
      </c>
      <c r="AE30" s="108" t="e">
        <f t="shared" si="61"/>
        <v>#N/A</v>
      </c>
      <c r="AF30" s="105"/>
      <c r="AG30" s="108" t="e">
        <f t="shared" si="62"/>
        <v>#N/A</v>
      </c>
      <c r="AH30" s="108" t="e">
        <f t="shared" si="63"/>
        <v>#N/A</v>
      </c>
      <c r="AI30" s="108" t="e">
        <f t="shared" si="64"/>
        <v>#N/A</v>
      </c>
      <c r="AJ30" s="108" t="e">
        <f t="shared" si="65"/>
        <v>#N/A</v>
      </c>
      <c r="AK30" s="108" t="e">
        <f t="shared" si="66"/>
        <v>#N/A</v>
      </c>
      <c r="AL30" s="114" t="e">
        <f t="shared" si="67"/>
        <v>#N/A</v>
      </c>
      <c r="AM30" s="39"/>
    </row>
    <row r="31" spans="1:39" ht="12.75" customHeight="1" x14ac:dyDescent="0.25">
      <c r="A31" s="24">
        <f t="shared" si="21"/>
        <v>24</v>
      </c>
      <c r="B31" s="24"/>
      <c r="C31" s="24"/>
      <c r="D31" s="24"/>
      <c r="E31" s="24"/>
      <c r="F31" s="110" t="str">
        <f>NOMINA!B30</f>
        <v>Empleado 24</v>
      </c>
      <c r="G31" s="111" t="str">
        <f>NOMINA!C30</f>
        <v>Emp 024</v>
      </c>
      <c r="H31" s="112">
        <f t="shared" si="45"/>
        <v>31</v>
      </c>
      <c r="I31" s="109">
        <v>31</v>
      </c>
      <c r="J31" s="109">
        <v>0</v>
      </c>
      <c r="K31" s="109">
        <v>0</v>
      </c>
      <c r="L31" s="113">
        <f>+NOMINA!F30</f>
        <v>0</v>
      </c>
      <c r="M31" s="113">
        <f t="shared" si="46"/>
        <v>0</v>
      </c>
      <c r="N31" s="108">
        <f t="shared" si="47"/>
        <v>741.87</v>
      </c>
      <c r="O31" s="108">
        <f t="shared" si="48"/>
        <v>0</v>
      </c>
      <c r="P31" s="108">
        <f t="shared" si="49"/>
        <v>0</v>
      </c>
      <c r="Q31" s="108">
        <f t="shared" si="50"/>
        <v>0</v>
      </c>
      <c r="R31" s="108">
        <f t="shared" si="51"/>
        <v>0</v>
      </c>
      <c r="S31" s="108">
        <f t="shared" si="52"/>
        <v>0</v>
      </c>
      <c r="T31" s="108">
        <f t="shared" si="53"/>
        <v>0</v>
      </c>
      <c r="U31" s="108">
        <f t="shared" si="54"/>
        <v>741.87</v>
      </c>
      <c r="V31" s="105"/>
      <c r="W31" s="108">
        <f t="shared" si="55"/>
        <v>0</v>
      </c>
      <c r="X31" s="108" t="e">
        <f>+ROUND(H31*M31*(VLOOKUP(M31,TABLAS!$B$29:$D$35,3,1)+1.125%),2)</f>
        <v>#N/A</v>
      </c>
      <c r="Y31" s="108">
        <f t="shared" si="56"/>
        <v>0</v>
      </c>
      <c r="Z31" s="108" t="e">
        <f t="shared" si="57"/>
        <v>#N/A</v>
      </c>
      <c r="AA31" s="105"/>
      <c r="AB31" s="108">
        <f t="shared" si="58"/>
        <v>741.87</v>
      </c>
      <c r="AC31" s="108" t="e">
        <f t="shared" si="59"/>
        <v>#N/A</v>
      </c>
      <c r="AD31" s="108">
        <f t="shared" si="60"/>
        <v>0</v>
      </c>
      <c r="AE31" s="108" t="e">
        <f t="shared" si="61"/>
        <v>#N/A</v>
      </c>
      <c r="AF31" s="105"/>
      <c r="AG31" s="108" t="e">
        <f t="shared" si="62"/>
        <v>#N/A</v>
      </c>
      <c r="AH31" s="108" t="e">
        <f t="shared" si="63"/>
        <v>#N/A</v>
      </c>
      <c r="AI31" s="108" t="e">
        <f t="shared" si="64"/>
        <v>#N/A</v>
      </c>
      <c r="AJ31" s="108" t="e">
        <f t="shared" si="65"/>
        <v>#N/A</v>
      </c>
      <c r="AK31" s="108" t="e">
        <f t="shared" si="66"/>
        <v>#N/A</v>
      </c>
      <c r="AL31" s="114" t="e">
        <f t="shared" si="67"/>
        <v>#N/A</v>
      </c>
      <c r="AM31" s="39"/>
    </row>
    <row r="32" spans="1:39" ht="12.75" customHeight="1" x14ac:dyDescent="0.25">
      <c r="A32" s="24">
        <f t="shared" si="21"/>
        <v>25</v>
      </c>
      <c r="B32" s="24"/>
      <c r="C32" s="24"/>
      <c r="D32" s="24"/>
      <c r="E32" s="24"/>
      <c r="F32" s="110" t="str">
        <f>NOMINA!B31</f>
        <v>Empleado 25</v>
      </c>
      <c r="G32" s="111" t="str">
        <f>NOMINA!C31</f>
        <v>Emp 025</v>
      </c>
      <c r="H32" s="112">
        <f t="shared" si="45"/>
        <v>31</v>
      </c>
      <c r="I32" s="109">
        <v>31</v>
      </c>
      <c r="J32" s="109">
        <v>0</v>
      </c>
      <c r="K32" s="109">
        <v>0</v>
      </c>
      <c r="L32" s="113">
        <f>+NOMINA!F31</f>
        <v>0</v>
      </c>
      <c r="M32" s="113">
        <f t="shared" si="46"/>
        <v>0</v>
      </c>
      <c r="N32" s="108">
        <f t="shared" si="47"/>
        <v>741.87</v>
      </c>
      <c r="O32" s="108">
        <f t="shared" si="48"/>
        <v>0</v>
      </c>
      <c r="P32" s="108">
        <f t="shared" si="49"/>
        <v>0</v>
      </c>
      <c r="Q32" s="108">
        <f t="shared" si="50"/>
        <v>0</v>
      </c>
      <c r="R32" s="108">
        <f t="shared" si="51"/>
        <v>0</v>
      </c>
      <c r="S32" s="108">
        <f t="shared" si="52"/>
        <v>0</v>
      </c>
      <c r="T32" s="108">
        <f t="shared" si="53"/>
        <v>0</v>
      </c>
      <c r="U32" s="108">
        <f t="shared" si="54"/>
        <v>741.87</v>
      </c>
      <c r="V32" s="105"/>
      <c r="W32" s="108">
        <f t="shared" si="55"/>
        <v>0</v>
      </c>
      <c r="X32" s="108" t="e">
        <f>+ROUND(H32*M32*(VLOOKUP(M32,TABLAS!$B$29:$D$35,3,1)+1.125%),2)</f>
        <v>#N/A</v>
      </c>
      <c r="Y32" s="108">
        <f t="shared" si="56"/>
        <v>0</v>
      </c>
      <c r="Z32" s="108" t="e">
        <f t="shared" si="57"/>
        <v>#N/A</v>
      </c>
      <c r="AA32" s="105"/>
      <c r="AB32" s="108">
        <f t="shared" si="58"/>
        <v>741.87</v>
      </c>
      <c r="AC32" s="108" t="e">
        <f t="shared" si="59"/>
        <v>#N/A</v>
      </c>
      <c r="AD32" s="108">
        <f t="shared" si="60"/>
        <v>0</v>
      </c>
      <c r="AE32" s="108" t="e">
        <f t="shared" si="61"/>
        <v>#N/A</v>
      </c>
      <c r="AF32" s="105"/>
      <c r="AG32" s="108" t="e">
        <f t="shared" si="62"/>
        <v>#N/A</v>
      </c>
      <c r="AH32" s="108" t="e">
        <f t="shared" si="63"/>
        <v>#N/A</v>
      </c>
      <c r="AI32" s="108" t="e">
        <f t="shared" si="64"/>
        <v>#N/A</v>
      </c>
      <c r="AJ32" s="108" t="e">
        <f t="shared" si="65"/>
        <v>#N/A</v>
      </c>
      <c r="AK32" s="108" t="e">
        <f t="shared" si="66"/>
        <v>#N/A</v>
      </c>
      <c r="AL32" s="114" t="e">
        <f t="shared" si="67"/>
        <v>#N/A</v>
      </c>
      <c r="AM32" s="39"/>
    </row>
    <row r="33" spans="1:39" ht="12.75" customHeight="1" x14ac:dyDescent="0.25">
      <c r="A33" s="24">
        <f t="shared" si="21"/>
        <v>26</v>
      </c>
      <c r="B33" s="24"/>
      <c r="C33" s="24"/>
      <c r="D33" s="24"/>
      <c r="E33" s="24"/>
      <c r="F33" s="110" t="str">
        <f>NOMINA!B32</f>
        <v>Empleado 26</v>
      </c>
      <c r="G33" s="111" t="str">
        <f>NOMINA!C32</f>
        <v>Emp 026</v>
      </c>
      <c r="H33" s="112">
        <f t="shared" si="45"/>
        <v>31</v>
      </c>
      <c r="I33" s="109">
        <v>31</v>
      </c>
      <c r="J33" s="109">
        <v>0</v>
      </c>
      <c r="K33" s="109">
        <v>0</v>
      </c>
      <c r="L33" s="113">
        <f>+NOMINA!F32</f>
        <v>0</v>
      </c>
      <c r="M33" s="113">
        <f t="shared" si="46"/>
        <v>0</v>
      </c>
      <c r="N33" s="108">
        <f t="shared" si="47"/>
        <v>741.87</v>
      </c>
      <c r="O33" s="108">
        <f t="shared" si="48"/>
        <v>0</v>
      </c>
      <c r="P33" s="108">
        <f t="shared" si="49"/>
        <v>0</v>
      </c>
      <c r="Q33" s="108">
        <f t="shared" si="50"/>
        <v>0</v>
      </c>
      <c r="R33" s="108">
        <f t="shared" si="51"/>
        <v>0</v>
      </c>
      <c r="S33" s="108">
        <f t="shared" si="52"/>
        <v>0</v>
      </c>
      <c r="T33" s="108">
        <f t="shared" si="53"/>
        <v>0</v>
      </c>
      <c r="U33" s="108">
        <f t="shared" si="54"/>
        <v>741.87</v>
      </c>
      <c r="V33" s="105"/>
      <c r="W33" s="108">
        <f t="shared" si="55"/>
        <v>0</v>
      </c>
      <c r="X33" s="108" t="e">
        <f>+ROUND(H33*M33*(VLOOKUP(M33,TABLAS!$B$29:$D$35,3,1)+1.125%),2)</f>
        <v>#N/A</v>
      </c>
      <c r="Y33" s="108">
        <f t="shared" si="56"/>
        <v>0</v>
      </c>
      <c r="Z33" s="108" t="e">
        <f t="shared" si="57"/>
        <v>#N/A</v>
      </c>
      <c r="AA33" s="105"/>
      <c r="AB33" s="108">
        <f t="shared" si="58"/>
        <v>741.87</v>
      </c>
      <c r="AC33" s="108" t="e">
        <f t="shared" si="59"/>
        <v>#N/A</v>
      </c>
      <c r="AD33" s="108">
        <f t="shared" si="60"/>
        <v>0</v>
      </c>
      <c r="AE33" s="108" t="e">
        <f t="shared" si="61"/>
        <v>#N/A</v>
      </c>
      <c r="AF33" s="105"/>
      <c r="AG33" s="108" t="e">
        <f t="shared" si="62"/>
        <v>#N/A</v>
      </c>
      <c r="AH33" s="108" t="e">
        <f t="shared" si="63"/>
        <v>#N/A</v>
      </c>
      <c r="AI33" s="108" t="e">
        <f t="shared" si="64"/>
        <v>#N/A</v>
      </c>
      <c r="AJ33" s="108" t="e">
        <f t="shared" si="65"/>
        <v>#N/A</v>
      </c>
      <c r="AK33" s="108" t="e">
        <f t="shared" si="66"/>
        <v>#N/A</v>
      </c>
      <c r="AL33" s="114" t="e">
        <f t="shared" si="67"/>
        <v>#N/A</v>
      </c>
      <c r="AM33" s="39"/>
    </row>
    <row r="34" spans="1:39" ht="12.75" customHeight="1" x14ac:dyDescent="0.25">
      <c r="A34" s="24">
        <f t="shared" si="21"/>
        <v>27</v>
      </c>
      <c r="B34" s="24"/>
      <c r="C34" s="24"/>
      <c r="D34" s="24"/>
      <c r="E34" s="24"/>
      <c r="F34" s="110" t="str">
        <f>NOMINA!B33</f>
        <v>Empleado 27</v>
      </c>
      <c r="G34" s="111" t="str">
        <f>NOMINA!C33</f>
        <v>Emp 027</v>
      </c>
      <c r="H34" s="112">
        <f t="shared" si="45"/>
        <v>31</v>
      </c>
      <c r="I34" s="109">
        <v>31</v>
      </c>
      <c r="J34" s="109">
        <v>0</v>
      </c>
      <c r="K34" s="109">
        <v>0</v>
      </c>
      <c r="L34" s="113">
        <f>+NOMINA!F33</f>
        <v>0</v>
      </c>
      <c r="M34" s="113">
        <f t="shared" si="46"/>
        <v>0</v>
      </c>
      <c r="N34" s="108">
        <f t="shared" si="47"/>
        <v>741.87</v>
      </c>
      <c r="O34" s="108">
        <f t="shared" si="48"/>
        <v>0</v>
      </c>
      <c r="P34" s="108">
        <f t="shared" si="49"/>
        <v>0</v>
      </c>
      <c r="Q34" s="108">
        <f t="shared" si="50"/>
        <v>0</v>
      </c>
      <c r="R34" s="108">
        <f t="shared" si="51"/>
        <v>0</v>
      </c>
      <c r="S34" s="108">
        <f t="shared" si="52"/>
        <v>0</v>
      </c>
      <c r="T34" s="108">
        <f t="shared" si="53"/>
        <v>0</v>
      </c>
      <c r="U34" s="108">
        <f t="shared" si="54"/>
        <v>741.87</v>
      </c>
      <c r="V34" s="105"/>
      <c r="W34" s="108">
        <f t="shared" si="55"/>
        <v>0</v>
      </c>
      <c r="X34" s="108" t="e">
        <f>+ROUND(H34*M34*(VLOOKUP(M34,TABLAS!$B$29:$D$35,3,1)+1.125%),2)</f>
        <v>#N/A</v>
      </c>
      <c r="Y34" s="108">
        <f t="shared" si="56"/>
        <v>0</v>
      </c>
      <c r="Z34" s="108" t="e">
        <f t="shared" si="57"/>
        <v>#N/A</v>
      </c>
      <c r="AA34" s="105"/>
      <c r="AB34" s="108">
        <f t="shared" si="58"/>
        <v>741.87</v>
      </c>
      <c r="AC34" s="108" t="e">
        <f t="shared" si="59"/>
        <v>#N/A</v>
      </c>
      <c r="AD34" s="108">
        <f t="shared" si="60"/>
        <v>0</v>
      </c>
      <c r="AE34" s="108" t="e">
        <f t="shared" si="61"/>
        <v>#N/A</v>
      </c>
      <c r="AF34" s="105"/>
      <c r="AG34" s="108" t="e">
        <f t="shared" si="62"/>
        <v>#N/A</v>
      </c>
      <c r="AH34" s="108" t="e">
        <f t="shared" si="63"/>
        <v>#N/A</v>
      </c>
      <c r="AI34" s="108" t="e">
        <f t="shared" si="64"/>
        <v>#N/A</v>
      </c>
      <c r="AJ34" s="108" t="e">
        <f t="shared" si="65"/>
        <v>#N/A</v>
      </c>
      <c r="AK34" s="108" t="e">
        <f t="shared" si="66"/>
        <v>#N/A</v>
      </c>
      <c r="AL34" s="114" t="e">
        <f t="shared" si="67"/>
        <v>#N/A</v>
      </c>
      <c r="AM34" s="39"/>
    </row>
    <row r="35" spans="1:39" ht="12.75" customHeight="1" x14ac:dyDescent="0.25">
      <c r="A35" s="24">
        <f t="shared" si="21"/>
        <v>28</v>
      </c>
      <c r="B35" s="24"/>
      <c r="C35" s="24"/>
      <c r="D35" s="24"/>
      <c r="E35" s="24"/>
      <c r="F35" s="110" t="str">
        <f>NOMINA!B34</f>
        <v>Empleado 28</v>
      </c>
      <c r="G35" s="111" t="str">
        <f>NOMINA!C34</f>
        <v>Emp 028</v>
      </c>
      <c r="H35" s="112">
        <f t="shared" si="45"/>
        <v>31</v>
      </c>
      <c r="I35" s="109">
        <v>31</v>
      </c>
      <c r="J35" s="109">
        <v>0</v>
      </c>
      <c r="K35" s="109">
        <v>0</v>
      </c>
      <c r="L35" s="113">
        <f>+NOMINA!F34</f>
        <v>0</v>
      </c>
      <c r="M35" s="113">
        <f t="shared" si="46"/>
        <v>0</v>
      </c>
      <c r="N35" s="108">
        <f t="shared" si="47"/>
        <v>741.87</v>
      </c>
      <c r="O35" s="108">
        <f t="shared" si="48"/>
        <v>0</v>
      </c>
      <c r="P35" s="108">
        <f t="shared" si="49"/>
        <v>0</v>
      </c>
      <c r="Q35" s="108">
        <f t="shared" si="50"/>
        <v>0</v>
      </c>
      <c r="R35" s="108">
        <f t="shared" si="51"/>
        <v>0</v>
      </c>
      <c r="S35" s="108">
        <f t="shared" si="52"/>
        <v>0</v>
      </c>
      <c r="T35" s="108">
        <f t="shared" si="53"/>
        <v>0</v>
      </c>
      <c r="U35" s="108">
        <f t="shared" si="54"/>
        <v>741.87</v>
      </c>
      <c r="V35" s="105"/>
      <c r="W35" s="108">
        <f t="shared" si="55"/>
        <v>0</v>
      </c>
      <c r="X35" s="108" t="e">
        <f>+ROUND(H35*M35*(VLOOKUP(M35,TABLAS!$B$29:$D$35,3,1)+1.125%),2)</f>
        <v>#N/A</v>
      </c>
      <c r="Y35" s="108">
        <f t="shared" si="56"/>
        <v>0</v>
      </c>
      <c r="Z35" s="108" t="e">
        <f t="shared" si="57"/>
        <v>#N/A</v>
      </c>
      <c r="AA35" s="105"/>
      <c r="AB35" s="108">
        <f t="shared" si="58"/>
        <v>741.87</v>
      </c>
      <c r="AC35" s="108" t="e">
        <f t="shared" si="59"/>
        <v>#N/A</v>
      </c>
      <c r="AD35" s="108">
        <f t="shared" si="60"/>
        <v>0</v>
      </c>
      <c r="AE35" s="108" t="e">
        <f t="shared" si="61"/>
        <v>#N/A</v>
      </c>
      <c r="AF35" s="105"/>
      <c r="AG35" s="108" t="e">
        <f t="shared" si="62"/>
        <v>#N/A</v>
      </c>
      <c r="AH35" s="108" t="e">
        <f t="shared" si="63"/>
        <v>#N/A</v>
      </c>
      <c r="AI35" s="108" t="e">
        <f t="shared" si="64"/>
        <v>#N/A</v>
      </c>
      <c r="AJ35" s="108" t="e">
        <f t="shared" si="65"/>
        <v>#N/A</v>
      </c>
      <c r="AK35" s="108" t="e">
        <f t="shared" si="66"/>
        <v>#N/A</v>
      </c>
      <c r="AL35" s="114" t="e">
        <f t="shared" si="67"/>
        <v>#N/A</v>
      </c>
      <c r="AM35" s="39"/>
    </row>
    <row r="36" spans="1:39" ht="12.75" customHeight="1" x14ac:dyDescent="0.25">
      <c r="A36" s="24">
        <f t="shared" si="21"/>
        <v>29</v>
      </c>
      <c r="B36" s="24"/>
      <c r="C36" s="24"/>
      <c r="D36" s="24"/>
      <c r="E36" s="24"/>
      <c r="F36" s="110" t="str">
        <f>NOMINA!B35</f>
        <v>Empleado 29</v>
      </c>
      <c r="G36" s="111" t="str">
        <f>NOMINA!C35</f>
        <v>Emp 029</v>
      </c>
      <c r="H36" s="112">
        <f t="shared" si="45"/>
        <v>31</v>
      </c>
      <c r="I36" s="109">
        <v>31</v>
      </c>
      <c r="J36" s="109">
        <v>0</v>
      </c>
      <c r="K36" s="109">
        <v>0</v>
      </c>
      <c r="L36" s="113">
        <f>+NOMINA!F35</f>
        <v>0</v>
      </c>
      <c r="M36" s="113">
        <f t="shared" si="46"/>
        <v>0</v>
      </c>
      <c r="N36" s="108">
        <f t="shared" si="47"/>
        <v>741.87</v>
      </c>
      <c r="O36" s="108">
        <f t="shared" si="48"/>
        <v>0</v>
      </c>
      <c r="P36" s="108">
        <f t="shared" si="49"/>
        <v>0</v>
      </c>
      <c r="Q36" s="108">
        <f t="shared" si="50"/>
        <v>0</v>
      </c>
      <c r="R36" s="108">
        <f t="shared" si="51"/>
        <v>0</v>
      </c>
      <c r="S36" s="108">
        <f t="shared" si="52"/>
        <v>0</v>
      </c>
      <c r="T36" s="108">
        <f t="shared" si="53"/>
        <v>0</v>
      </c>
      <c r="U36" s="108">
        <f t="shared" si="54"/>
        <v>741.87</v>
      </c>
      <c r="V36" s="105"/>
      <c r="W36" s="108">
        <f t="shared" si="55"/>
        <v>0</v>
      </c>
      <c r="X36" s="108" t="e">
        <f>+ROUND(H36*M36*(VLOOKUP(M36,TABLAS!$B$29:$D$35,3,1)+1.125%),2)</f>
        <v>#N/A</v>
      </c>
      <c r="Y36" s="108">
        <f t="shared" si="56"/>
        <v>0</v>
      </c>
      <c r="Z36" s="108" t="e">
        <f t="shared" si="57"/>
        <v>#N/A</v>
      </c>
      <c r="AA36" s="105"/>
      <c r="AB36" s="108">
        <f t="shared" si="58"/>
        <v>741.87</v>
      </c>
      <c r="AC36" s="108" t="e">
        <f t="shared" si="59"/>
        <v>#N/A</v>
      </c>
      <c r="AD36" s="108">
        <f t="shared" si="60"/>
        <v>0</v>
      </c>
      <c r="AE36" s="108" t="e">
        <f t="shared" si="61"/>
        <v>#N/A</v>
      </c>
      <c r="AF36" s="105"/>
      <c r="AG36" s="108" t="e">
        <f t="shared" si="62"/>
        <v>#N/A</v>
      </c>
      <c r="AH36" s="108" t="e">
        <f t="shared" si="63"/>
        <v>#N/A</v>
      </c>
      <c r="AI36" s="108" t="e">
        <f t="shared" si="64"/>
        <v>#N/A</v>
      </c>
      <c r="AJ36" s="108" t="e">
        <f t="shared" si="65"/>
        <v>#N/A</v>
      </c>
      <c r="AK36" s="108" t="e">
        <f t="shared" si="66"/>
        <v>#N/A</v>
      </c>
      <c r="AL36" s="114" t="e">
        <f t="shared" si="67"/>
        <v>#N/A</v>
      </c>
      <c r="AM36" s="39"/>
    </row>
    <row r="37" spans="1:39" ht="12.75" customHeight="1" x14ac:dyDescent="0.25">
      <c r="A37" s="24">
        <f t="shared" si="21"/>
        <v>30</v>
      </c>
      <c r="B37" s="24"/>
      <c r="C37" s="24"/>
      <c r="D37" s="24"/>
      <c r="E37" s="24"/>
      <c r="F37" s="110" t="str">
        <f>NOMINA!B36</f>
        <v>Empleado 30</v>
      </c>
      <c r="G37" s="111" t="str">
        <f>NOMINA!C36</f>
        <v>Emp 030</v>
      </c>
      <c r="H37" s="112">
        <f t="shared" si="45"/>
        <v>31</v>
      </c>
      <c r="I37" s="109">
        <v>31</v>
      </c>
      <c r="J37" s="109">
        <v>0</v>
      </c>
      <c r="K37" s="109">
        <v>0</v>
      </c>
      <c r="L37" s="113">
        <f>+NOMINA!F36</f>
        <v>0</v>
      </c>
      <c r="M37" s="113">
        <f t="shared" si="46"/>
        <v>0</v>
      </c>
      <c r="N37" s="108">
        <f t="shared" si="47"/>
        <v>741.87</v>
      </c>
      <c r="O37" s="108">
        <f t="shared" si="48"/>
        <v>0</v>
      </c>
      <c r="P37" s="108">
        <f t="shared" si="49"/>
        <v>0</v>
      </c>
      <c r="Q37" s="108">
        <f t="shared" si="50"/>
        <v>0</v>
      </c>
      <c r="R37" s="108">
        <f t="shared" si="51"/>
        <v>0</v>
      </c>
      <c r="S37" s="108">
        <f t="shared" si="52"/>
        <v>0</v>
      </c>
      <c r="T37" s="108">
        <f t="shared" si="53"/>
        <v>0</v>
      </c>
      <c r="U37" s="108">
        <f t="shared" si="54"/>
        <v>741.87</v>
      </c>
      <c r="V37" s="105"/>
      <c r="W37" s="108">
        <f t="shared" si="55"/>
        <v>0</v>
      </c>
      <c r="X37" s="108" t="e">
        <f>+ROUND(H37*M37*(VLOOKUP(M37,TABLAS!$B$29:$D$35,3,1)+1.125%),2)</f>
        <v>#N/A</v>
      </c>
      <c r="Y37" s="108">
        <f t="shared" si="56"/>
        <v>0</v>
      </c>
      <c r="Z37" s="108" t="e">
        <f t="shared" si="57"/>
        <v>#N/A</v>
      </c>
      <c r="AA37" s="105"/>
      <c r="AB37" s="108">
        <f t="shared" si="58"/>
        <v>741.87</v>
      </c>
      <c r="AC37" s="108" t="e">
        <f t="shared" si="59"/>
        <v>#N/A</v>
      </c>
      <c r="AD37" s="108">
        <f t="shared" si="60"/>
        <v>0</v>
      </c>
      <c r="AE37" s="108" t="e">
        <f t="shared" si="61"/>
        <v>#N/A</v>
      </c>
      <c r="AF37" s="105"/>
      <c r="AG37" s="108" t="e">
        <f t="shared" si="62"/>
        <v>#N/A</v>
      </c>
      <c r="AH37" s="108" t="e">
        <f t="shared" si="63"/>
        <v>#N/A</v>
      </c>
      <c r="AI37" s="108" t="e">
        <f t="shared" si="64"/>
        <v>#N/A</v>
      </c>
      <c r="AJ37" s="108" t="e">
        <f t="shared" si="65"/>
        <v>#N/A</v>
      </c>
      <c r="AK37" s="108" t="e">
        <f t="shared" si="66"/>
        <v>#N/A</v>
      </c>
      <c r="AL37" s="114" t="e">
        <f t="shared" si="67"/>
        <v>#N/A</v>
      </c>
      <c r="AM37" s="39"/>
    </row>
    <row r="38" spans="1:39" ht="12.75" customHeight="1" x14ac:dyDescent="0.25">
      <c r="A38" s="24">
        <f t="shared" si="21"/>
        <v>31</v>
      </c>
      <c r="B38" s="24"/>
      <c r="C38" s="24"/>
      <c r="D38" s="24"/>
      <c r="E38" s="24"/>
      <c r="F38" s="110" t="str">
        <f>NOMINA!B37</f>
        <v>Empleado 31</v>
      </c>
      <c r="G38" s="111" t="str">
        <f>NOMINA!C37</f>
        <v>Emp 031</v>
      </c>
      <c r="H38" s="112">
        <f t="shared" si="45"/>
        <v>31</v>
      </c>
      <c r="I38" s="109">
        <v>31</v>
      </c>
      <c r="J38" s="109">
        <v>0</v>
      </c>
      <c r="K38" s="109">
        <v>0</v>
      </c>
      <c r="L38" s="113">
        <f>+NOMINA!F37</f>
        <v>0</v>
      </c>
      <c r="M38" s="113">
        <f t="shared" si="46"/>
        <v>0</v>
      </c>
      <c r="N38" s="108">
        <f t="shared" si="47"/>
        <v>741.87</v>
      </c>
      <c r="O38" s="108">
        <f t="shared" si="48"/>
        <v>0</v>
      </c>
      <c r="P38" s="108">
        <f t="shared" si="49"/>
        <v>0</v>
      </c>
      <c r="Q38" s="108">
        <f t="shared" si="50"/>
        <v>0</v>
      </c>
      <c r="R38" s="108">
        <f t="shared" si="51"/>
        <v>0</v>
      </c>
      <c r="S38" s="108">
        <f t="shared" si="52"/>
        <v>0</v>
      </c>
      <c r="T38" s="108">
        <f t="shared" si="53"/>
        <v>0</v>
      </c>
      <c r="U38" s="108">
        <f t="shared" si="54"/>
        <v>741.87</v>
      </c>
      <c r="V38" s="105"/>
      <c r="W38" s="108">
        <f t="shared" si="55"/>
        <v>0</v>
      </c>
      <c r="X38" s="108" t="e">
        <f>+ROUND(H38*M38*(VLOOKUP(M38,TABLAS!$B$29:$D$35,3,1)+1.125%),2)</f>
        <v>#N/A</v>
      </c>
      <c r="Y38" s="108">
        <f t="shared" si="56"/>
        <v>0</v>
      </c>
      <c r="Z38" s="108" t="e">
        <f t="shared" si="57"/>
        <v>#N/A</v>
      </c>
      <c r="AA38" s="105"/>
      <c r="AB38" s="108">
        <f t="shared" si="58"/>
        <v>741.87</v>
      </c>
      <c r="AC38" s="108" t="e">
        <f t="shared" si="59"/>
        <v>#N/A</v>
      </c>
      <c r="AD38" s="108">
        <f t="shared" si="60"/>
        <v>0</v>
      </c>
      <c r="AE38" s="108" t="e">
        <f t="shared" si="61"/>
        <v>#N/A</v>
      </c>
      <c r="AF38" s="105"/>
      <c r="AG38" s="108" t="e">
        <f t="shared" si="62"/>
        <v>#N/A</v>
      </c>
      <c r="AH38" s="108" t="e">
        <f t="shared" si="63"/>
        <v>#N/A</v>
      </c>
      <c r="AI38" s="108" t="e">
        <f t="shared" si="64"/>
        <v>#N/A</v>
      </c>
      <c r="AJ38" s="108" t="e">
        <f t="shared" si="65"/>
        <v>#N/A</v>
      </c>
      <c r="AK38" s="108" t="e">
        <f t="shared" si="66"/>
        <v>#N/A</v>
      </c>
      <c r="AL38" s="114" t="e">
        <f t="shared" si="67"/>
        <v>#N/A</v>
      </c>
      <c r="AM38" s="39"/>
    </row>
    <row r="39" spans="1:39" ht="12.75" customHeight="1" x14ac:dyDescent="0.25">
      <c r="A39" s="24">
        <f t="shared" si="21"/>
        <v>32</v>
      </c>
      <c r="B39" s="24"/>
      <c r="C39" s="24"/>
      <c r="D39" s="24"/>
      <c r="E39" s="24"/>
      <c r="F39" s="110" t="str">
        <f>NOMINA!B38</f>
        <v>Empleado 32</v>
      </c>
      <c r="G39" s="111" t="str">
        <f>NOMINA!C38</f>
        <v>Emp 032</v>
      </c>
      <c r="H39" s="112">
        <f t="shared" si="45"/>
        <v>31</v>
      </c>
      <c r="I39" s="109">
        <v>31</v>
      </c>
      <c r="J39" s="109">
        <v>0</v>
      </c>
      <c r="K39" s="109">
        <v>0</v>
      </c>
      <c r="L39" s="113">
        <f>+NOMINA!F38</f>
        <v>0</v>
      </c>
      <c r="M39" s="113">
        <f t="shared" si="46"/>
        <v>0</v>
      </c>
      <c r="N39" s="108">
        <f t="shared" si="47"/>
        <v>741.87</v>
      </c>
      <c r="O39" s="108">
        <f t="shared" si="48"/>
        <v>0</v>
      </c>
      <c r="P39" s="108">
        <f t="shared" si="49"/>
        <v>0</v>
      </c>
      <c r="Q39" s="108">
        <f t="shared" si="50"/>
        <v>0</v>
      </c>
      <c r="R39" s="108">
        <f t="shared" si="51"/>
        <v>0</v>
      </c>
      <c r="S39" s="108">
        <f t="shared" si="52"/>
        <v>0</v>
      </c>
      <c r="T39" s="108">
        <f t="shared" si="53"/>
        <v>0</v>
      </c>
      <c r="U39" s="108">
        <f t="shared" si="54"/>
        <v>741.87</v>
      </c>
      <c r="V39" s="105"/>
      <c r="W39" s="108">
        <f t="shared" si="55"/>
        <v>0</v>
      </c>
      <c r="X39" s="108" t="e">
        <f>+ROUND(H39*M39*(VLOOKUP(M39,TABLAS!$B$29:$D$35,3,1)+1.125%),2)</f>
        <v>#N/A</v>
      </c>
      <c r="Y39" s="108">
        <f t="shared" si="56"/>
        <v>0</v>
      </c>
      <c r="Z39" s="108" t="e">
        <f t="shared" si="57"/>
        <v>#N/A</v>
      </c>
      <c r="AA39" s="105"/>
      <c r="AB39" s="108">
        <f t="shared" si="58"/>
        <v>741.87</v>
      </c>
      <c r="AC39" s="108" t="e">
        <f t="shared" si="59"/>
        <v>#N/A</v>
      </c>
      <c r="AD39" s="108">
        <f t="shared" si="60"/>
        <v>0</v>
      </c>
      <c r="AE39" s="108" t="e">
        <f t="shared" si="61"/>
        <v>#N/A</v>
      </c>
      <c r="AF39" s="105"/>
      <c r="AG39" s="108" t="e">
        <f t="shared" si="62"/>
        <v>#N/A</v>
      </c>
      <c r="AH39" s="108" t="e">
        <f t="shared" si="63"/>
        <v>#N/A</v>
      </c>
      <c r="AI39" s="108" t="e">
        <f t="shared" si="64"/>
        <v>#N/A</v>
      </c>
      <c r="AJ39" s="108" t="e">
        <f t="shared" si="65"/>
        <v>#N/A</v>
      </c>
      <c r="AK39" s="108" t="e">
        <f t="shared" si="66"/>
        <v>#N/A</v>
      </c>
      <c r="AL39" s="114" t="e">
        <f t="shared" si="67"/>
        <v>#N/A</v>
      </c>
      <c r="AM39" s="39"/>
    </row>
    <row r="40" spans="1:39" ht="12.75" customHeight="1" x14ac:dyDescent="0.25">
      <c r="A40" s="24">
        <f t="shared" si="21"/>
        <v>33</v>
      </c>
      <c r="B40" s="24"/>
      <c r="C40" s="24"/>
      <c r="D40" s="24"/>
      <c r="E40" s="24"/>
      <c r="F40" s="110" t="str">
        <f>NOMINA!B39</f>
        <v>Empleado 33</v>
      </c>
      <c r="G40" s="111" t="str">
        <f>NOMINA!C39</f>
        <v>Emp 033</v>
      </c>
      <c r="H40" s="112">
        <f t="shared" si="45"/>
        <v>31</v>
      </c>
      <c r="I40" s="109">
        <v>31</v>
      </c>
      <c r="J40" s="109">
        <v>0</v>
      </c>
      <c r="K40" s="109">
        <v>0</v>
      </c>
      <c r="L40" s="113">
        <f>+NOMINA!F39</f>
        <v>0</v>
      </c>
      <c r="M40" s="113">
        <f t="shared" si="46"/>
        <v>0</v>
      </c>
      <c r="N40" s="108">
        <f t="shared" si="47"/>
        <v>741.87</v>
      </c>
      <c r="O40" s="108">
        <f t="shared" si="48"/>
        <v>0</v>
      </c>
      <c r="P40" s="108">
        <f t="shared" si="49"/>
        <v>0</v>
      </c>
      <c r="Q40" s="108">
        <f t="shared" si="50"/>
        <v>0</v>
      </c>
      <c r="R40" s="108">
        <f t="shared" si="51"/>
        <v>0</v>
      </c>
      <c r="S40" s="108">
        <f t="shared" si="52"/>
        <v>0</v>
      </c>
      <c r="T40" s="108">
        <f t="shared" si="53"/>
        <v>0</v>
      </c>
      <c r="U40" s="108">
        <f t="shared" si="54"/>
        <v>741.87</v>
      </c>
      <c r="V40" s="105"/>
      <c r="W40" s="108">
        <f t="shared" si="55"/>
        <v>0</v>
      </c>
      <c r="X40" s="108" t="e">
        <f>+ROUND(H40*M40*(VLOOKUP(M40,TABLAS!$B$29:$D$35,3,1)+1.125%),2)</f>
        <v>#N/A</v>
      </c>
      <c r="Y40" s="108">
        <f t="shared" si="56"/>
        <v>0</v>
      </c>
      <c r="Z40" s="108" t="e">
        <f t="shared" si="57"/>
        <v>#N/A</v>
      </c>
      <c r="AA40" s="105"/>
      <c r="AB40" s="108">
        <f t="shared" si="58"/>
        <v>741.87</v>
      </c>
      <c r="AC40" s="108" t="e">
        <f t="shared" si="59"/>
        <v>#N/A</v>
      </c>
      <c r="AD40" s="108">
        <f t="shared" si="60"/>
        <v>0</v>
      </c>
      <c r="AE40" s="108" t="e">
        <f t="shared" si="61"/>
        <v>#N/A</v>
      </c>
      <c r="AF40" s="105"/>
      <c r="AG40" s="108" t="e">
        <f t="shared" si="62"/>
        <v>#N/A</v>
      </c>
      <c r="AH40" s="108" t="e">
        <f t="shared" si="63"/>
        <v>#N/A</v>
      </c>
      <c r="AI40" s="108" t="e">
        <f t="shared" si="64"/>
        <v>#N/A</v>
      </c>
      <c r="AJ40" s="108" t="e">
        <f t="shared" si="65"/>
        <v>#N/A</v>
      </c>
      <c r="AK40" s="108" t="e">
        <f t="shared" si="66"/>
        <v>#N/A</v>
      </c>
      <c r="AL40" s="114" t="e">
        <f t="shared" si="67"/>
        <v>#N/A</v>
      </c>
      <c r="AM40" s="39"/>
    </row>
    <row r="41" spans="1:39" ht="12.75" customHeight="1" x14ac:dyDescent="0.25">
      <c r="A41" s="24">
        <f t="shared" si="21"/>
        <v>34</v>
      </c>
      <c r="B41" s="24"/>
      <c r="C41" s="24"/>
      <c r="D41" s="24"/>
      <c r="E41" s="24"/>
      <c r="F41" s="110" t="str">
        <f>NOMINA!B40</f>
        <v>Empleado 34</v>
      </c>
      <c r="G41" s="111" t="str">
        <f>NOMINA!C40</f>
        <v>Emp 034</v>
      </c>
      <c r="H41" s="112">
        <f t="shared" si="45"/>
        <v>31</v>
      </c>
      <c r="I41" s="109">
        <v>31</v>
      </c>
      <c r="J41" s="109">
        <v>0</v>
      </c>
      <c r="K41" s="109">
        <v>0</v>
      </c>
      <c r="L41" s="113">
        <f>+NOMINA!F40</f>
        <v>0</v>
      </c>
      <c r="M41" s="113">
        <f t="shared" si="46"/>
        <v>0</v>
      </c>
      <c r="N41" s="108">
        <f t="shared" si="47"/>
        <v>741.87</v>
      </c>
      <c r="O41" s="108">
        <f t="shared" si="48"/>
        <v>0</v>
      </c>
      <c r="P41" s="108">
        <f t="shared" si="49"/>
        <v>0</v>
      </c>
      <c r="Q41" s="108">
        <f t="shared" si="50"/>
        <v>0</v>
      </c>
      <c r="R41" s="108">
        <f t="shared" si="51"/>
        <v>0</v>
      </c>
      <c r="S41" s="108">
        <f t="shared" si="52"/>
        <v>0</v>
      </c>
      <c r="T41" s="108">
        <f t="shared" si="53"/>
        <v>0</v>
      </c>
      <c r="U41" s="108">
        <f t="shared" si="54"/>
        <v>741.87</v>
      </c>
      <c r="V41" s="105"/>
      <c r="W41" s="108">
        <f t="shared" si="55"/>
        <v>0</v>
      </c>
      <c r="X41" s="108" t="e">
        <f>+ROUND(H41*M41*(VLOOKUP(M41,TABLAS!$B$29:$D$35,3,1)+1.125%),2)</f>
        <v>#N/A</v>
      </c>
      <c r="Y41" s="108">
        <f t="shared" si="56"/>
        <v>0</v>
      </c>
      <c r="Z41" s="108" t="e">
        <f t="shared" si="57"/>
        <v>#N/A</v>
      </c>
      <c r="AA41" s="105"/>
      <c r="AB41" s="108">
        <f t="shared" si="58"/>
        <v>741.87</v>
      </c>
      <c r="AC41" s="108" t="e">
        <f t="shared" si="59"/>
        <v>#N/A</v>
      </c>
      <c r="AD41" s="108">
        <f t="shared" si="60"/>
        <v>0</v>
      </c>
      <c r="AE41" s="108" t="e">
        <f t="shared" si="61"/>
        <v>#N/A</v>
      </c>
      <c r="AF41" s="105"/>
      <c r="AG41" s="108" t="e">
        <f t="shared" si="62"/>
        <v>#N/A</v>
      </c>
      <c r="AH41" s="108" t="e">
        <f t="shared" si="63"/>
        <v>#N/A</v>
      </c>
      <c r="AI41" s="108" t="e">
        <f t="shared" si="64"/>
        <v>#N/A</v>
      </c>
      <c r="AJ41" s="108" t="e">
        <f t="shared" si="65"/>
        <v>#N/A</v>
      </c>
      <c r="AK41" s="108" t="e">
        <f t="shared" si="66"/>
        <v>#N/A</v>
      </c>
      <c r="AL41" s="114" t="e">
        <f t="shared" si="67"/>
        <v>#N/A</v>
      </c>
      <c r="AM41" s="39"/>
    </row>
    <row r="42" spans="1:39" ht="12.75" customHeight="1" x14ac:dyDescent="0.25">
      <c r="A42" s="24">
        <f t="shared" si="21"/>
        <v>35</v>
      </c>
      <c r="B42" s="24"/>
      <c r="C42" s="24"/>
      <c r="D42" s="24"/>
      <c r="E42" s="24"/>
      <c r="F42" s="110" t="str">
        <f>NOMINA!B41</f>
        <v>Empleado 35</v>
      </c>
      <c r="G42" s="111" t="str">
        <f>NOMINA!C41</f>
        <v>Emp 035</v>
      </c>
      <c r="H42" s="112">
        <f t="shared" si="45"/>
        <v>31</v>
      </c>
      <c r="I42" s="109">
        <v>31</v>
      </c>
      <c r="J42" s="109">
        <v>0</v>
      </c>
      <c r="K42" s="109">
        <v>0</v>
      </c>
      <c r="L42" s="113">
        <f>+NOMINA!F41</f>
        <v>0</v>
      </c>
      <c r="M42" s="113">
        <f t="shared" si="46"/>
        <v>0</v>
      </c>
      <c r="N42" s="108">
        <f t="shared" si="47"/>
        <v>741.87</v>
      </c>
      <c r="O42" s="108">
        <f t="shared" si="48"/>
        <v>0</v>
      </c>
      <c r="P42" s="108">
        <f t="shared" si="49"/>
        <v>0</v>
      </c>
      <c r="Q42" s="108">
        <f t="shared" si="50"/>
        <v>0</v>
      </c>
      <c r="R42" s="108">
        <f t="shared" si="51"/>
        <v>0</v>
      </c>
      <c r="S42" s="108">
        <f t="shared" si="52"/>
        <v>0</v>
      </c>
      <c r="T42" s="108">
        <f t="shared" si="53"/>
        <v>0</v>
      </c>
      <c r="U42" s="108">
        <f t="shared" si="54"/>
        <v>741.87</v>
      </c>
      <c r="V42" s="105"/>
      <c r="W42" s="108">
        <f t="shared" si="55"/>
        <v>0</v>
      </c>
      <c r="X42" s="108" t="e">
        <f>+ROUND(H42*M42*(VLOOKUP(M42,TABLAS!$B$29:$D$35,3,1)+1.125%),2)</f>
        <v>#N/A</v>
      </c>
      <c r="Y42" s="108">
        <f t="shared" si="56"/>
        <v>0</v>
      </c>
      <c r="Z42" s="108" t="e">
        <f t="shared" si="57"/>
        <v>#N/A</v>
      </c>
      <c r="AA42" s="105"/>
      <c r="AB42" s="108">
        <f t="shared" si="58"/>
        <v>741.87</v>
      </c>
      <c r="AC42" s="108" t="e">
        <f t="shared" si="59"/>
        <v>#N/A</v>
      </c>
      <c r="AD42" s="108">
        <f t="shared" si="60"/>
        <v>0</v>
      </c>
      <c r="AE42" s="108" t="e">
        <f t="shared" si="61"/>
        <v>#N/A</v>
      </c>
      <c r="AF42" s="105"/>
      <c r="AG42" s="108" t="e">
        <f t="shared" si="62"/>
        <v>#N/A</v>
      </c>
      <c r="AH42" s="108" t="e">
        <f t="shared" si="63"/>
        <v>#N/A</v>
      </c>
      <c r="AI42" s="108" t="e">
        <f t="shared" si="64"/>
        <v>#N/A</v>
      </c>
      <c r="AJ42" s="108" t="e">
        <f t="shared" si="65"/>
        <v>#N/A</v>
      </c>
      <c r="AK42" s="108" t="e">
        <f t="shared" si="66"/>
        <v>#N/A</v>
      </c>
      <c r="AL42" s="114" t="e">
        <f t="shared" si="67"/>
        <v>#N/A</v>
      </c>
      <c r="AM42" s="39"/>
    </row>
    <row r="43" spans="1:39" ht="12.75" customHeight="1" x14ac:dyDescent="0.25">
      <c r="A43" s="24">
        <f t="shared" si="21"/>
        <v>36</v>
      </c>
      <c r="B43" s="24"/>
      <c r="C43" s="24"/>
      <c r="D43" s="24"/>
      <c r="E43" s="24"/>
      <c r="F43" s="110" t="str">
        <f>NOMINA!B42</f>
        <v>Empleado 36</v>
      </c>
      <c r="G43" s="111" t="str">
        <f>NOMINA!C42</f>
        <v>Emp 036</v>
      </c>
      <c r="H43" s="112">
        <f t="shared" si="45"/>
        <v>31</v>
      </c>
      <c r="I43" s="109">
        <v>31</v>
      </c>
      <c r="J43" s="109">
        <v>0</v>
      </c>
      <c r="K43" s="109">
        <v>0</v>
      </c>
      <c r="L43" s="113">
        <f>+NOMINA!F42</f>
        <v>0</v>
      </c>
      <c r="M43" s="113">
        <f t="shared" si="46"/>
        <v>0</v>
      </c>
      <c r="N43" s="108">
        <f t="shared" si="47"/>
        <v>741.87</v>
      </c>
      <c r="O43" s="108">
        <f t="shared" si="48"/>
        <v>0</v>
      </c>
      <c r="P43" s="108">
        <f t="shared" si="49"/>
        <v>0</v>
      </c>
      <c r="Q43" s="108">
        <f t="shared" si="50"/>
        <v>0</v>
      </c>
      <c r="R43" s="108">
        <f t="shared" si="51"/>
        <v>0</v>
      </c>
      <c r="S43" s="108">
        <f t="shared" si="52"/>
        <v>0</v>
      </c>
      <c r="T43" s="108">
        <f t="shared" si="53"/>
        <v>0</v>
      </c>
      <c r="U43" s="108">
        <f t="shared" si="54"/>
        <v>741.87</v>
      </c>
      <c r="V43" s="105"/>
      <c r="W43" s="108">
        <f t="shared" si="55"/>
        <v>0</v>
      </c>
      <c r="X43" s="108" t="e">
        <f>+ROUND(H43*M43*(VLOOKUP(M43,TABLAS!$B$29:$D$35,3,1)+1.125%),2)</f>
        <v>#N/A</v>
      </c>
      <c r="Y43" s="108">
        <f t="shared" si="56"/>
        <v>0</v>
      </c>
      <c r="Z43" s="108" t="e">
        <f t="shared" si="57"/>
        <v>#N/A</v>
      </c>
      <c r="AA43" s="105"/>
      <c r="AB43" s="108">
        <f t="shared" si="58"/>
        <v>741.87</v>
      </c>
      <c r="AC43" s="108" t="e">
        <f t="shared" si="59"/>
        <v>#N/A</v>
      </c>
      <c r="AD43" s="108">
        <f t="shared" si="60"/>
        <v>0</v>
      </c>
      <c r="AE43" s="108" t="e">
        <f t="shared" si="61"/>
        <v>#N/A</v>
      </c>
      <c r="AF43" s="105"/>
      <c r="AG43" s="108" t="e">
        <f t="shared" si="62"/>
        <v>#N/A</v>
      </c>
      <c r="AH43" s="108" t="e">
        <f t="shared" si="63"/>
        <v>#N/A</v>
      </c>
      <c r="AI43" s="108" t="e">
        <f t="shared" si="64"/>
        <v>#N/A</v>
      </c>
      <c r="AJ43" s="108" t="e">
        <f t="shared" si="65"/>
        <v>#N/A</v>
      </c>
      <c r="AK43" s="108" t="e">
        <f t="shared" si="66"/>
        <v>#N/A</v>
      </c>
      <c r="AL43" s="114" t="e">
        <f t="shared" si="67"/>
        <v>#N/A</v>
      </c>
      <c r="AM43" s="39"/>
    </row>
    <row r="44" spans="1:39" ht="12.75" customHeight="1" x14ac:dyDescent="0.25">
      <c r="A44" s="24">
        <f t="shared" si="21"/>
        <v>37</v>
      </c>
      <c r="B44" s="24"/>
      <c r="C44" s="24"/>
      <c r="D44" s="24"/>
      <c r="E44" s="24"/>
      <c r="F44" s="110" t="str">
        <f>NOMINA!B43</f>
        <v>Empleado 37</v>
      </c>
      <c r="G44" s="111" t="str">
        <f>NOMINA!C43</f>
        <v>Emp 037</v>
      </c>
      <c r="H44" s="112">
        <f t="shared" si="45"/>
        <v>31</v>
      </c>
      <c r="I44" s="109">
        <v>31</v>
      </c>
      <c r="J44" s="109">
        <v>0</v>
      </c>
      <c r="K44" s="109">
        <v>0</v>
      </c>
      <c r="L44" s="113">
        <f>+NOMINA!F43</f>
        <v>0</v>
      </c>
      <c r="M44" s="113">
        <f t="shared" si="46"/>
        <v>0</v>
      </c>
      <c r="N44" s="108">
        <f t="shared" si="47"/>
        <v>741.87</v>
      </c>
      <c r="O44" s="108">
        <f t="shared" si="48"/>
        <v>0</v>
      </c>
      <c r="P44" s="108">
        <f t="shared" si="49"/>
        <v>0</v>
      </c>
      <c r="Q44" s="108">
        <f t="shared" si="50"/>
        <v>0</v>
      </c>
      <c r="R44" s="108">
        <f t="shared" si="51"/>
        <v>0</v>
      </c>
      <c r="S44" s="108">
        <f t="shared" si="52"/>
        <v>0</v>
      </c>
      <c r="T44" s="108">
        <f t="shared" si="53"/>
        <v>0</v>
      </c>
      <c r="U44" s="108">
        <f t="shared" si="54"/>
        <v>741.87</v>
      </c>
      <c r="V44" s="105"/>
      <c r="W44" s="108">
        <f t="shared" si="55"/>
        <v>0</v>
      </c>
      <c r="X44" s="108" t="e">
        <f>+ROUND(H44*M44*(VLOOKUP(M44,TABLAS!$B$29:$D$35,3,1)+1.125%),2)</f>
        <v>#N/A</v>
      </c>
      <c r="Y44" s="108">
        <f t="shared" si="56"/>
        <v>0</v>
      </c>
      <c r="Z44" s="108" t="e">
        <f t="shared" si="57"/>
        <v>#N/A</v>
      </c>
      <c r="AA44" s="105"/>
      <c r="AB44" s="108">
        <f t="shared" si="58"/>
        <v>741.87</v>
      </c>
      <c r="AC44" s="108" t="e">
        <f t="shared" si="59"/>
        <v>#N/A</v>
      </c>
      <c r="AD44" s="108">
        <f t="shared" si="60"/>
        <v>0</v>
      </c>
      <c r="AE44" s="108" t="e">
        <f t="shared" si="61"/>
        <v>#N/A</v>
      </c>
      <c r="AF44" s="105"/>
      <c r="AG44" s="108" t="e">
        <f t="shared" si="62"/>
        <v>#N/A</v>
      </c>
      <c r="AH44" s="108" t="e">
        <f t="shared" si="63"/>
        <v>#N/A</v>
      </c>
      <c r="AI44" s="108" t="e">
        <f t="shared" si="64"/>
        <v>#N/A</v>
      </c>
      <c r="AJ44" s="108" t="e">
        <f t="shared" si="65"/>
        <v>#N/A</v>
      </c>
      <c r="AK44" s="108" t="e">
        <f t="shared" si="66"/>
        <v>#N/A</v>
      </c>
      <c r="AL44" s="114" t="e">
        <f t="shared" si="67"/>
        <v>#N/A</v>
      </c>
      <c r="AM44" s="39"/>
    </row>
    <row r="45" spans="1:39" ht="12.75" customHeight="1" x14ac:dyDescent="0.25">
      <c r="A45" s="24">
        <f t="shared" si="21"/>
        <v>38</v>
      </c>
      <c r="B45" s="24"/>
      <c r="C45" s="24"/>
      <c r="D45" s="24"/>
      <c r="E45" s="24"/>
      <c r="F45" s="110" t="str">
        <f>NOMINA!B44</f>
        <v>Empleado 38</v>
      </c>
      <c r="G45" s="111" t="str">
        <f>NOMINA!C44</f>
        <v>Emp 038</v>
      </c>
      <c r="H45" s="112">
        <f t="shared" si="45"/>
        <v>31</v>
      </c>
      <c r="I45" s="109">
        <v>31</v>
      </c>
      <c r="J45" s="109">
        <v>0</v>
      </c>
      <c r="K45" s="109">
        <v>0</v>
      </c>
      <c r="L45" s="113">
        <f>+NOMINA!F44</f>
        <v>0</v>
      </c>
      <c r="M45" s="113">
        <f t="shared" si="46"/>
        <v>0</v>
      </c>
      <c r="N45" s="108">
        <f t="shared" si="47"/>
        <v>741.87</v>
      </c>
      <c r="O45" s="108">
        <f t="shared" si="48"/>
        <v>0</v>
      </c>
      <c r="P45" s="108">
        <f t="shared" si="49"/>
        <v>0</v>
      </c>
      <c r="Q45" s="108">
        <f t="shared" si="50"/>
        <v>0</v>
      </c>
      <c r="R45" s="108">
        <f t="shared" si="51"/>
        <v>0</v>
      </c>
      <c r="S45" s="108">
        <f t="shared" si="52"/>
        <v>0</v>
      </c>
      <c r="T45" s="108">
        <f t="shared" si="53"/>
        <v>0</v>
      </c>
      <c r="U45" s="108">
        <f t="shared" si="54"/>
        <v>741.87</v>
      </c>
      <c r="V45" s="105"/>
      <c r="W45" s="108">
        <f t="shared" si="55"/>
        <v>0</v>
      </c>
      <c r="X45" s="108" t="e">
        <f>+ROUND(H45*M45*(VLOOKUP(M45,TABLAS!$B$29:$D$35,3,1)+1.125%),2)</f>
        <v>#N/A</v>
      </c>
      <c r="Y45" s="108">
        <f t="shared" si="56"/>
        <v>0</v>
      </c>
      <c r="Z45" s="108" t="e">
        <f t="shared" si="57"/>
        <v>#N/A</v>
      </c>
      <c r="AA45" s="105"/>
      <c r="AB45" s="108">
        <f t="shared" si="58"/>
        <v>741.87</v>
      </c>
      <c r="AC45" s="108" t="e">
        <f t="shared" si="59"/>
        <v>#N/A</v>
      </c>
      <c r="AD45" s="108">
        <f t="shared" si="60"/>
        <v>0</v>
      </c>
      <c r="AE45" s="108" t="e">
        <f t="shared" si="61"/>
        <v>#N/A</v>
      </c>
      <c r="AF45" s="105"/>
      <c r="AG45" s="108" t="e">
        <f t="shared" si="62"/>
        <v>#N/A</v>
      </c>
      <c r="AH45" s="108" t="e">
        <f t="shared" si="63"/>
        <v>#N/A</v>
      </c>
      <c r="AI45" s="108" t="e">
        <f t="shared" si="64"/>
        <v>#N/A</v>
      </c>
      <c r="AJ45" s="108" t="e">
        <f t="shared" si="65"/>
        <v>#N/A</v>
      </c>
      <c r="AK45" s="108" t="e">
        <f t="shared" si="66"/>
        <v>#N/A</v>
      </c>
      <c r="AL45" s="114" t="e">
        <f t="shared" si="67"/>
        <v>#N/A</v>
      </c>
      <c r="AM45" s="39"/>
    </row>
    <row r="46" spans="1:39" ht="12.75" customHeight="1" x14ac:dyDescent="0.25">
      <c r="A46" s="24">
        <f t="shared" si="21"/>
        <v>39</v>
      </c>
      <c r="B46" s="24"/>
      <c r="C46" s="24"/>
      <c r="D46" s="24"/>
      <c r="E46" s="24"/>
      <c r="F46" s="110" t="str">
        <f>NOMINA!B45</f>
        <v>Empleado 39</v>
      </c>
      <c r="G46" s="111" t="str">
        <f>NOMINA!C45</f>
        <v>Emp 039</v>
      </c>
      <c r="H46" s="112">
        <f t="shared" si="45"/>
        <v>31</v>
      </c>
      <c r="I46" s="109">
        <v>31</v>
      </c>
      <c r="J46" s="109">
        <v>0</v>
      </c>
      <c r="K46" s="109">
        <v>0</v>
      </c>
      <c r="L46" s="113">
        <f>+NOMINA!F45</f>
        <v>0</v>
      </c>
      <c r="M46" s="113">
        <f t="shared" si="46"/>
        <v>0</v>
      </c>
      <c r="N46" s="108">
        <f t="shared" si="47"/>
        <v>741.87</v>
      </c>
      <c r="O46" s="108">
        <f t="shared" si="48"/>
        <v>0</v>
      </c>
      <c r="P46" s="108">
        <f t="shared" si="49"/>
        <v>0</v>
      </c>
      <c r="Q46" s="108">
        <f t="shared" si="50"/>
        <v>0</v>
      </c>
      <c r="R46" s="108">
        <f t="shared" si="51"/>
        <v>0</v>
      </c>
      <c r="S46" s="108">
        <f t="shared" si="52"/>
        <v>0</v>
      </c>
      <c r="T46" s="108">
        <f t="shared" si="53"/>
        <v>0</v>
      </c>
      <c r="U46" s="108">
        <f t="shared" si="54"/>
        <v>741.87</v>
      </c>
      <c r="V46" s="105"/>
      <c r="W46" s="108">
        <f t="shared" si="55"/>
        <v>0</v>
      </c>
      <c r="X46" s="108" t="e">
        <f>+ROUND(H46*M46*(VLOOKUP(M46,TABLAS!$B$29:$D$35,3,1)+1.125%),2)</f>
        <v>#N/A</v>
      </c>
      <c r="Y46" s="108">
        <f t="shared" si="56"/>
        <v>0</v>
      </c>
      <c r="Z46" s="108" t="e">
        <f t="shared" si="57"/>
        <v>#N/A</v>
      </c>
      <c r="AA46" s="105"/>
      <c r="AB46" s="108">
        <f t="shared" si="58"/>
        <v>741.87</v>
      </c>
      <c r="AC46" s="108" t="e">
        <f t="shared" si="59"/>
        <v>#N/A</v>
      </c>
      <c r="AD46" s="108">
        <f t="shared" si="60"/>
        <v>0</v>
      </c>
      <c r="AE46" s="108" t="e">
        <f t="shared" si="61"/>
        <v>#N/A</v>
      </c>
      <c r="AF46" s="105"/>
      <c r="AG46" s="108" t="e">
        <f t="shared" si="62"/>
        <v>#N/A</v>
      </c>
      <c r="AH46" s="108" t="e">
        <f t="shared" si="63"/>
        <v>#N/A</v>
      </c>
      <c r="AI46" s="108" t="e">
        <f t="shared" si="64"/>
        <v>#N/A</v>
      </c>
      <c r="AJ46" s="108" t="e">
        <f t="shared" si="65"/>
        <v>#N/A</v>
      </c>
      <c r="AK46" s="108" t="e">
        <f t="shared" si="66"/>
        <v>#N/A</v>
      </c>
      <c r="AL46" s="114" t="e">
        <f t="shared" si="67"/>
        <v>#N/A</v>
      </c>
      <c r="AM46" s="39"/>
    </row>
    <row r="47" spans="1:39" ht="12.75" customHeight="1" x14ac:dyDescent="0.25">
      <c r="A47" s="24">
        <f t="shared" si="21"/>
        <v>40</v>
      </c>
      <c r="B47" s="24"/>
      <c r="C47" s="24"/>
      <c r="D47" s="24"/>
      <c r="E47" s="24"/>
      <c r="F47" s="110" t="str">
        <f>NOMINA!B46</f>
        <v>Empleado 40</v>
      </c>
      <c r="G47" s="111" t="str">
        <f>NOMINA!C46</f>
        <v>Emp 040</v>
      </c>
      <c r="H47" s="112">
        <f t="shared" si="45"/>
        <v>31</v>
      </c>
      <c r="I47" s="109">
        <v>31</v>
      </c>
      <c r="J47" s="109">
        <v>0</v>
      </c>
      <c r="K47" s="109">
        <v>0</v>
      </c>
      <c r="L47" s="113">
        <f>+NOMINA!F46</f>
        <v>0</v>
      </c>
      <c r="M47" s="113">
        <f t="shared" si="46"/>
        <v>0</v>
      </c>
      <c r="N47" s="108">
        <f t="shared" si="47"/>
        <v>741.87</v>
      </c>
      <c r="O47" s="108">
        <f t="shared" si="48"/>
        <v>0</v>
      </c>
      <c r="P47" s="108">
        <f t="shared" si="49"/>
        <v>0</v>
      </c>
      <c r="Q47" s="108">
        <f t="shared" si="50"/>
        <v>0</v>
      </c>
      <c r="R47" s="108">
        <f t="shared" si="51"/>
        <v>0</v>
      </c>
      <c r="S47" s="108">
        <f t="shared" si="52"/>
        <v>0</v>
      </c>
      <c r="T47" s="108">
        <f t="shared" si="53"/>
        <v>0</v>
      </c>
      <c r="U47" s="108">
        <f t="shared" si="54"/>
        <v>741.87</v>
      </c>
      <c r="V47" s="105"/>
      <c r="W47" s="108">
        <f t="shared" si="55"/>
        <v>0</v>
      </c>
      <c r="X47" s="108" t="e">
        <f>+ROUND(H47*M47*(VLOOKUP(M47,TABLAS!$B$29:$D$35,3,1)+1.125%),2)</f>
        <v>#N/A</v>
      </c>
      <c r="Y47" s="108">
        <f t="shared" si="56"/>
        <v>0</v>
      </c>
      <c r="Z47" s="108" t="e">
        <f t="shared" si="57"/>
        <v>#N/A</v>
      </c>
      <c r="AA47" s="105"/>
      <c r="AB47" s="108">
        <f t="shared" si="58"/>
        <v>741.87</v>
      </c>
      <c r="AC47" s="108" t="e">
        <f t="shared" si="59"/>
        <v>#N/A</v>
      </c>
      <c r="AD47" s="108">
        <f t="shared" si="60"/>
        <v>0</v>
      </c>
      <c r="AE47" s="108" t="e">
        <f t="shared" si="61"/>
        <v>#N/A</v>
      </c>
      <c r="AF47" s="105"/>
      <c r="AG47" s="108" t="e">
        <f t="shared" si="62"/>
        <v>#N/A</v>
      </c>
      <c r="AH47" s="108" t="e">
        <f t="shared" si="63"/>
        <v>#N/A</v>
      </c>
      <c r="AI47" s="108" t="e">
        <f t="shared" si="64"/>
        <v>#N/A</v>
      </c>
      <c r="AJ47" s="108" t="e">
        <f t="shared" si="65"/>
        <v>#N/A</v>
      </c>
      <c r="AK47" s="108" t="e">
        <f t="shared" si="66"/>
        <v>#N/A</v>
      </c>
      <c r="AL47" s="114" t="e">
        <f t="shared" si="67"/>
        <v>#N/A</v>
      </c>
      <c r="AM47" s="39"/>
    </row>
    <row r="48" spans="1:39" ht="12.75" customHeight="1" x14ac:dyDescent="0.25">
      <c r="A48" s="24">
        <f t="shared" si="21"/>
        <v>41</v>
      </c>
      <c r="B48" s="24"/>
      <c r="C48" s="24"/>
      <c r="D48" s="24"/>
      <c r="E48" s="24"/>
      <c r="F48" s="110" t="str">
        <f>NOMINA!B47</f>
        <v>Empleado 41</v>
      </c>
      <c r="G48" s="111" t="str">
        <f>NOMINA!C47</f>
        <v>Emp 041</v>
      </c>
      <c r="H48" s="112">
        <f t="shared" si="45"/>
        <v>31</v>
      </c>
      <c r="I48" s="109">
        <v>31</v>
      </c>
      <c r="J48" s="109">
        <v>0</v>
      </c>
      <c r="K48" s="109">
        <v>0</v>
      </c>
      <c r="L48" s="113">
        <f>+NOMINA!F47</f>
        <v>0</v>
      </c>
      <c r="M48" s="113">
        <f t="shared" si="46"/>
        <v>0</v>
      </c>
      <c r="N48" s="108">
        <f t="shared" si="47"/>
        <v>741.87</v>
      </c>
      <c r="O48" s="108">
        <f t="shared" si="48"/>
        <v>0</v>
      </c>
      <c r="P48" s="108">
        <f t="shared" si="49"/>
        <v>0</v>
      </c>
      <c r="Q48" s="108">
        <f t="shared" si="50"/>
        <v>0</v>
      </c>
      <c r="R48" s="108">
        <f t="shared" si="51"/>
        <v>0</v>
      </c>
      <c r="S48" s="108">
        <f t="shared" si="52"/>
        <v>0</v>
      </c>
      <c r="T48" s="108">
        <f t="shared" si="53"/>
        <v>0</v>
      </c>
      <c r="U48" s="108">
        <f t="shared" si="54"/>
        <v>741.87</v>
      </c>
      <c r="V48" s="105"/>
      <c r="W48" s="108">
        <f t="shared" si="55"/>
        <v>0</v>
      </c>
      <c r="X48" s="108" t="e">
        <f>+ROUND(H48*M48*(VLOOKUP(M48,TABLAS!$B$29:$D$35,3,1)+1.125%),2)</f>
        <v>#N/A</v>
      </c>
      <c r="Y48" s="108">
        <f t="shared" si="56"/>
        <v>0</v>
      </c>
      <c r="Z48" s="108" t="e">
        <f t="shared" si="57"/>
        <v>#N/A</v>
      </c>
      <c r="AA48" s="105"/>
      <c r="AB48" s="108">
        <f t="shared" si="58"/>
        <v>741.87</v>
      </c>
      <c r="AC48" s="108" t="e">
        <f t="shared" si="59"/>
        <v>#N/A</v>
      </c>
      <c r="AD48" s="108">
        <f t="shared" si="60"/>
        <v>0</v>
      </c>
      <c r="AE48" s="108" t="e">
        <f t="shared" si="61"/>
        <v>#N/A</v>
      </c>
      <c r="AF48" s="105"/>
      <c r="AG48" s="108" t="e">
        <f t="shared" si="62"/>
        <v>#N/A</v>
      </c>
      <c r="AH48" s="108" t="e">
        <f t="shared" si="63"/>
        <v>#N/A</v>
      </c>
      <c r="AI48" s="108" t="e">
        <f t="shared" si="64"/>
        <v>#N/A</v>
      </c>
      <c r="AJ48" s="108" t="e">
        <f t="shared" si="65"/>
        <v>#N/A</v>
      </c>
      <c r="AK48" s="108" t="e">
        <f t="shared" si="66"/>
        <v>#N/A</v>
      </c>
      <c r="AL48" s="114" t="e">
        <f t="shared" si="67"/>
        <v>#N/A</v>
      </c>
      <c r="AM48" s="39"/>
    </row>
    <row r="49" spans="1:39" ht="12.75" customHeight="1" x14ac:dyDescent="0.25">
      <c r="A49" s="24">
        <f t="shared" si="21"/>
        <v>42</v>
      </c>
      <c r="B49" s="24"/>
      <c r="C49" s="24"/>
      <c r="D49" s="24"/>
      <c r="E49" s="24"/>
      <c r="F49" s="110" t="str">
        <f>NOMINA!B48</f>
        <v>Empleado 42</v>
      </c>
      <c r="G49" s="111" t="str">
        <f>NOMINA!C48</f>
        <v>Emp 042</v>
      </c>
      <c r="H49" s="112">
        <f t="shared" si="45"/>
        <v>31</v>
      </c>
      <c r="I49" s="109">
        <v>31</v>
      </c>
      <c r="J49" s="109">
        <v>0</v>
      </c>
      <c r="K49" s="109">
        <v>0</v>
      </c>
      <c r="L49" s="113">
        <f>+NOMINA!F48</f>
        <v>0</v>
      </c>
      <c r="M49" s="113">
        <f t="shared" si="46"/>
        <v>0</v>
      </c>
      <c r="N49" s="108">
        <f t="shared" si="47"/>
        <v>741.87</v>
      </c>
      <c r="O49" s="108">
        <f t="shared" si="48"/>
        <v>0</v>
      </c>
      <c r="P49" s="108">
        <f t="shared" si="49"/>
        <v>0</v>
      </c>
      <c r="Q49" s="108">
        <f t="shared" si="50"/>
        <v>0</v>
      </c>
      <c r="R49" s="108">
        <f t="shared" si="51"/>
        <v>0</v>
      </c>
      <c r="S49" s="108">
        <f t="shared" si="52"/>
        <v>0</v>
      </c>
      <c r="T49" s="108">
        <f t="shared" si="53"/>
        <v>0</v>
      </c>
      <c r="U49" s="108">
        <f t="shared" si="54"/>
        <v>741.87</v>
      </c>
      <c r="V49" s="105"/>
      <c r="W49" s="108">
        <f t="shared" si="55"/>
        <v>0</v>
      </c>
      <c r="X49" s="108" t="e">
        <f>+ROUND(H49*M49*(VLOOKUP(M49,TABLAS!$B$29:$D$35,3,1)+1.125%),2)</f>
        <v>#N/A</v>
      </c>
      <c r="Y49" s="108">
        <f t="shared" si="56"/>
        <v>0</v>
      </c>
      <c r="Z49" s="108" t="e">
        <f t="shared" si="57"/>
        <v>#N/A</v>
      </c>
      <c r="AA49" s="105"/>
      <c r="AB49" s="108">
        <f t="shared" si="58"/>
        <v>741.87</v>
      </c>
      <c r="AC49" s="108" t="e">
        <f t="shared" si="59"/>
        <v>#N/A</v>
      </c>
      <c r="AD49" s="108">
        <f t="shared" si="60"/>
        <v>0</v>
      </c>
      <c r="AE49" s="108" t="e">
        <f t="shared" si="61"/>
        <v>#N/A</v>
      </c>
      <c r="AF49" s="105"/>
      <c r="AG49" s="108" t="e">
        <f t="shared" si="62"/>
        <v>#N/A</v>
      </c>
      <c r="AH49" s="108" t="e">
        <f t="shared" si="63"/>
        <v>#N/A</v>
      </c>
      <c r="AI49" s="108" t="e">
        <f t="shared" si="64"/>
        <v>#N/A</v>
      </c>
      <c r="AJ49" s="108" t="e">
        <f t="shared" si="65"/>
        <v>#N/A</v>
      </c>
      <c r="AK49" s="108" t="e">
        <f t="shared" si="66"/>
        <v>#N/A</v>
      </c>
      <c r="AL49" s="114" t="e">
        <f t="shared" si="67"/>
        <v>#N/A</v>
      </c>
      <c r="AM49" s="39"/>
    </row>
    <row r="50" spans="1:39" ht="12.75" customHeight="1" x14ac:dyDescent="0.25">
      <c r="A50" s="24">
        <f t="shared" si="21"/>
        <v>43</v>
      </c>
      <c r="B50" s="24"/>
      <c r="C50" s="24"/>
      <c r="D50" s="24"/>
      <c r="E50" s="24"/>
      <c r="F50" s="110" t="str">
        <f>NOMINA!B49</f>
        <v>Empleado 43</v>
      </c>
      <c r="G50" s="111" t="str">
        <f>NOMINA!C49</f>
        <v>Emp 043</v>
      </c>
      <c r="H50" s="112">
        <f t="shared" si="45"/>
        <v>31</v>
      </c>
      <c r="I50" s="109">
        <v>31</v>
      </c>
      <c r="J50" s="109">
        <v>0</v>
      </c>
      <c r="K50" s="109">
        <v>0</v>
      </c>
      <c r="L50" s="113">
        <f>+NOMINA!F49</f>
        <v>0</v>
      </c>
      <c r="M50" s="113">
        <f t="shared" si="46"/>
        <v>0</v>
      </c>
      <c r="N50" s="108">
        <f t="shared" si="47"/>
        <v>741.87</v>
      </c>
      <c r="O50" s="108">
        <f t="shared" si="48"/>
        <v>0</v>
      </c>
      <c r="P50" s="108">
        <f t="shared" si="49"/>
        <v>0</v>
      </c>
      <c r="Q50" s="108">
        <f t="shared" si="50"/>
        <v>0</v>
      </c>
      <c r="R50" s="108">
        <f t="shared" si="51"/>
        <v>0</v>
      </c>
      <c r="S50" s="108">
        <f t="shared" si="52"/>
        <v>0</v>
      </c>
      <c r="T50" s="108">
        <f t="shared" si="53"/>
        <v>0</v>
      </c>
      <c r="U50" s="108">
        <f t="shared" si="54"/>
        <v>741.87</v>
      </c>
      <c r="V50" s="105"/>
      <c r="W50" s="108">
        <f t="shared" si="55"/>
        <v>0</v>
      </c>
      <c r="X50" s="108" t="e">
        <f>+ROUND(H50*M50*(VLOOKUP(M50,TABLAS!$B$29:$D$35,3,1)+1.125%),2)</f>
        <v>#N/A</v>
      </c>
      <c r="Y50" s="108">
        <f t="shared" si="56"/>
        <v>0</v>
      </c>
      <c r="Z50" s="108" t="e">
        <f t="shared" si="57"/>
        <v>#N/A</v>
      </c>
      <c r="AA50" s="105"/>
      <c r="AB50" s="108">
        <f t="shared" si="58"/>
        <v>741.87</v>
      </c>
      <c r="AC50" s="108" t="e">
        <f t="shared" si="59"/>
        <v>#N/A</v>
      </c>
      <c r="AD50" s="108">
        <f t="shared" si="60"/>
        <v>0</v>
      </c>
      <c r="AE50" s="108" t="e">
        <f t="shared" si="61"/>
        <v>#N/A</v>
      </c>
      <c r="AF50" s="105"/>
      <c r="AG50" s="108" t="e">
        <f t="shared" si="62"/>
        <v>#N/A</v>
      </c>
      <c r="AH50" s="108" t="e">
        <f t="shared" si="63"/>
        <v>#N/A</v>
      </c>
      <c r="AI50" s="108" t="e">
        <f t="shared" si="64"/>
        <v>#N/A</v>
      </c>
      <c r="AJ50" s="108" t="e">
        <f t="shared" si="65"/>
        <v>#N/A</v>
      </c>
      <c r="AK50" s="108" t="e">
        <f t="shared" si="66"/>
        <v>#N/A</v>
      </c>
      <c r="AL50" s="114" t="e">
        <f t="shared" si="67"/>
        <v>#N/A</v>
      </c>
      <c r="AM50" s="39"/>
    </row>
    <row r="51" spans="1:39" ht="12.75" customHeight="1" x14ac:dyDescent="0.25">
      <c r="A51" s="24">
        <f t="shared" si="21"/>
        <v>44</v>
      </c>
      <c r="B51" s="24"/>
      <c r="C51" s="24"/>
      <c r="D51" s="24"/>
      <c r="E51" s="24"/>
      <c r="F51" s="110" t="str">
        <f>NOMINA!B50</f>
        <v>Empleado 44</v>
      </c>
      <c r="G51" s="111" t="str">
        <f>NOMINA!C50</f>
        <v>Emp 044</v>
      </c>
      <c r="H51" s="112">
        <f t="shared" si="45"/>
        <v>31</v>
      </c>
      <c r="I51" s="109">
        <v>31</v>
      </c>
      <c r="J51" s="109">
        <v>0</v>
      </c>
      <c r="K51" s="109">
        <v>0</v>
      </c>
      <c r="L51" s="113">
        <f>+NOMINA!F50</f>
        <v>0</v>
      </c>
      <c r="M51" s="113">
        <f t="shared" si="46"/>
        <v>0</v>
      </c>
      <c r="N51" s="108">
        <f t="shared" si="47"/>
        <v>741.87</v>
      </c>
      <c r="O51" s="108">
        <f t="shared" si="48"/>
        <v>0</v>
      </c>
      <c r="P51" s="108">
        <f t="shared" si="49"/>
        <v>0</v>
      </c>
      <c r="Q51" s="108">
        <f t="shared" si="50"/>
        <v>0</v>
      </c>
      <c r="R51" s="108">
        <f t="shared" si="51"/>
        <v>0</v>
      </c>
      <c r="S51" s="108">
        <f t="shared" si="52"/>
        <v>0</v>
      </c>
      <c r="T51" s="108">
        <f t="shared" si="53"/>
        <v>0</v>
      </c>
      <c r="U51" s="108">
        <f t="shared" si="54"/>
        <v>741.87</v>
      </c>
      <c r="V51" s="105"/>
      <c r="W51" s="108">
        <f t="shared" si="55"/>
        <v>0</v>
      </c>
      <c r="X51" s="108" t="e">
        <f>+ROUND(H51*M51*(VLOOKUP(M51,TABLAS!$B$29:$D$35,3,1)+1.125%),2)</f>
        <v>#N/A</v>
      </c>
      <c r="Y51" s="108">
        <f t="shared" si="56"/>
        <v>0</v>
      </c>
      <c r="Z51" s="108" t="e">
        <f t="shared" si="57"/>
        <v>#N/A</v>
      </c>
      <c r="AA51" s="105"/>
      <c r="AB51" s="108">
        <f t="shared" si="58"/>
        <v>741.87</v>
      </c>
      <c r="AC51" s="108" t="e">
        <f t="shared" si="59"/>
        <v>#N/A</v>
      </c>
      <c r="AD51" s="108">
        <f t="shared" si="60"/>
        <v>0</v>
      </c>
      <c r="AE51" s="108" t="e">
        <f t="shared" si="61"/>
        <v>#N/A</v>
      </c>
      <c r="AF51" s="105"/>
      <c r="AG51" s="108" t="e">
        <f t="shared" si="62"/>
        <v>#N/A</v>
      </c>
      <c r="AH51" s="108" t="e">
        <f t="shared" si="63"/>
        <v>#N/A</v>
      </c>
      <c r="AI51" s="108" t="e">
        <f t="shared" si="64"/>
        <v>#N/A</v>
      </c>
      <c r="AJ51" s="108" t="e">
        <f t="shared" si="65"/>
        <v>#N/A</v>
      </c>
      <c r="AK51" s="108" t="e">
        <f t="shared" si="66"/>
        <v>#N/A</v>
      </c>
      <c r="AL51" s="114" t="e">
        <f t="shared" si="67"/>
        <v>#N/A</v>
      </c>
      <c r="AM51" s="39"/>
    </row>
    <row r="52" spans="1:39" ht="12.75" customHeight="1" x14ac:dyDescent="0.25">
      <c r="A52" s="24">
        <f t="shared" si="21"/>
        <v>45</v>
      </c>
      <c r="B52" s="24"/>
      <c r="C52" s="24"/>
      <c r="D52" s="24"/>
      <c r="E52" s="24"/>
      <c r="F52" s="110" t="str">
        <f>NOMINA!B51</f>
        <v>Empleado 45</v>
      </c>
      <c r="G52" s="111" t="str">
        <f>NOMINA!C51</f>
        <v>Emp 045</v>
      </c>
      <c r="H52" s="112">
        <f t="shared" si="45"/>
        <v>31</v>
      </c>
      <c r="I52" s="109">
        <v>31</v>
      </c>
      <c r="J52" s="109">
        <v>0</v>
      </c>
      <c r="K52" s="109">
        <v>0</v>
      </c>
      <c r="L52" s="113">
        <f>+NOMINA!F51</f>
        <v>0</v>
      </c>
      <c r="M52" s="113">
        <f t="shared" si="46"/>
        <v>0</v>
      </c>
      <c r="N52" s="108">
        <f t="shared" si="47"/>
        <v>741.87</v>
      </c>
      <c r="O52" s="108">
        <f t="shared" si="48"/>
        <v>0</v>
      </c>
      <c r="P52" s="108">
        <f t="shared" si="49"/>
        <v>0</v>
      </c>
      <c r="Q52" s="108">
        <f t="shared" si="50"/>
        <v>0</v>
      </c>
      <c r="R52" s="108">
        <f t="shared" si="51"/>
        <v>0</v>
      </c>
      <c r="S52" s="108">
        <f t="shared" si="52"/>
        <v>0</v>
      </c>
      <c r="T52" s="108">
        <f t="shared" si="53"/>
        <v>0</v>
      </c>
      <c r="U52" s="108">
        <f t="shared" si="54"/>
        <v>741.87</v>
      </c>
      <c r="V52" s="105"/>
      <c r="W52" s="108">
        <f t="shared" si="55"/>
        <v>0</v>
      </c>
      <c r="X52" s="108" t="e">
        <f>+ROUND(H52*M52*(VLOOKUP(M52,TABLAS!$B$29:$D$35,3,1)+1.125%),2)</f>
        <v>#N/A</v>
      </c>
      <c r="Y52" s="108">
        <f t="shared" si="56"/>
        <v>0</v>
      </c>
      <c r="Z52" s="108" t="e">
        <f t="shared" si="57"/>
        <v>#N/A</v>
      </c>
      <c r="AA52" s="105"/>
      <c r="AB52" s="108">
        <f t="shared" si="58"/>
        <v>741.87</v>
      </c>
      <c r="AC52" s="108" t="e">
        <f t="shared" si="59"/>
        <v>#N/A</v>
      </c>
      <c r="AD52" s="108">
        <f t="shared" si="60"/>
        <v>0</v>
      </c>
      <c r="AE52" s="108" t="e">
        <f t="shared" si="61"/>
        <v>#N/A</v>
      </c>
      <c r="AF52" s="105"/>
      <c r="AG52" s="108" t="e">
        <f t="shared" si="62"/>
        <v>#N/A</v>
      </c>
      <c r="AH52" s="108" t="e">
        <f t="shared" si="63"/>
        <v>#N/A</v>
      </c>
      <c r="AI52" s="108" t="e">
        <f t="shared" si="64"/>
        <v>#N/A</v>
      </c>
      <c r="AJ52" s="108" t="e">
        <f t="shared" si="65"/>
        <v>#N/A</v>
      </c>
      <c r="AK52" s="108" t="e">
        <f t="shared" si="66"/>
        <v>#N/A</v>
      </c>
      <c r="AL52" s="114" t="e">
        <f t="shared" si="67"/>
        <v>#N/A</v>
      </c>
      <c r="AM52" s="39"/>
    </row>
    <row r="53" spans="1:39" ht="12.75" customHeight="1" x14ac:dyDescent="0.25">
      <c r="A53" s="24">
        <f t="shared" si="21"/>
        <v>46</v>
      </c>
      <c r="B53" s="24"/>
      <c r="C53" s="24"/>
      <c r="D53" s="24"/>
      <c r="E53" s="24"/>
      <c r="F53" s="110" t="str">
        <f>NOMINA!B52</f>
        <v>Empleado 46</v>
      </c>
      <c r="G53" s="111" t="str">
        <f>NOMINA!C52</f>
        <v>Emp 046</v>
      </c>
      <c r="H53" s="112">
        <f t="shared" si="45"/>
        <v>31</v>
      </c>
      <c r="I53" s="109">
        <v>31</v>
      </c>
      <c r="J53" s="109">
        <v>0</v>
      </c>
      <c r="K53" s="109">
        <v>0</v>
      </c>
      <c r="L53" s="113">
        <f>+NOMINA!F52</f>
        <v>0</v>
      </c>
      <c r="M53" s="113">
        <f t="shared" si="46"/>
        <v>0</v>
      </c>
      <c r="N53" s="108">
        <f t="shared" si="47"/>
        <v>741.87</v>
      </c>
      <c r="O53" s="108">
        <f t="shared" si="48"/>
        <v>0</v>
      </c>
      <c r="P53" s="108">
        <f t="shared" si="49"/>
        <v>0</v>
      </c>
      <c r="Q53" s="108">
        <f t="shared" si="50"/>
        <v>0</v>
      </c>
      <c r="R53" s="108">
        <f t="shared" si="51"/>
        <v>0</v>
      </c>
      <c r="S53" s="108">
        <f t="shared" si="52"/>
        <v>0</v>
      </c>
      <c r="T53" s="108">
        <f t="shared" si="53"/>
        <v>0</v>
      </c>
      <c r="U53" s="108">
        <f t="shared" si="54"/>
        <v>741.87</v>
      </c>
      <c r="V53" s="105"/>
      <c r="W53" s="108">
        <f t="shared" si="55"/>
        <v>0</v>
      </c>
      <c r="X53" s="108" t="e">
        <f>+ROUND(H53*M53*(VLOOKUP(M53,TABLAS!$B$29:$D$35,3,1)+1.125%),2)</f>
        <v>#N/A</v>
      </c>
      <c r="Y53" s="108">
        <f t="shared" si="56"/>
        <v>0</v>
      </c>
      <c r="Z53" s="108" t="e">
        <f t="shared" si="57"/>
        <v>#N/A</v>
      </c>
      <c r="AA53" s="105"/>
      <c r="AB53" s="108">
        <f t="shared" si="58"/>
        <v>741.87</v>
      </c>
      <c r="AC53" s="108" t="e">
        <f t="shared" si="59"/>
        <v>#N/A</v>
      </c>
      <c r="AD53" s="108">
        <f t="shared" si="60"/>
        <v>0</v>
      </c>
      <c r="AE53" s="108" t="e">
        <f t="shared" si="61"/>
        <v>#N/A</v>
      </c>
      <c r="AF53" s="105"/>
      <c r="AG53" s="108" t="e">
        <f t="shared" si="62"/>
        <v>#N/A</v>
      </c>
      <c r="AH53" s="108" t="e">
        <f t="shared" si="63"/>
        <v>#N/A</v>
      </c>
      <c r="AI53" s="108" t="e">
        <f t="shared" si="64"/>
        <v>#N/A</v>
      </c>
      <c r="AJ53" s="108" t="e">
        <f t="shared" si="65"/>
        <v>#N/A</v>
      </c>
      <c r="AK53" s="108" t="e">
        <f t="shared" si="66"/>
        <v>#N/A</v>
      </c>
      <c r="AL53" s="114" t="e">
        <f t="shared" si="67"/>
        <v>#N/A</v>
      </c>
      <c r="AM53" s="39"/>
    </row>
    <row r="54" spans="1:39" ht="12.75" customHeight="1" x14ac:dyDescent="0.25">
      <c r="A54" s="24">
        <f t="shared" si="21"/>
        <v>47</v>
      </c>
      <c r="B54" s="24"/>
      <c r="C54" s="24"/>
      <c r="D54" s="24"/>
      <c r="E54" s="24"/>
      <c r="F54" s="110" t="str">
        <f>NOMINA!B53</f>
        <v>Empleado 47</v>
      </c>
      <c r="G54" s="111" t="str">
        <f>NOMINA!C53</f>
        <v>Emp 047</v>
      </c>
      <c r="H54" s="112">
        <f t="shared" si="45"/>
        <v>31</v>
      </c>
      <c r="I54" s="109">
        <v>31</v>
      </c>
      <c r="J54" s="109">
        <v>0</v>
      </c>
      <c r="K54" s="109">
        <v>0</v>
      </c>
      <c r="L54" s="113">
        <f>+NOMINA!F53</f>
        <v>0</v>
      </c>
      <c r="M54" s="113">
        <f t="shared" si="46"/>
        <v>0</v>
      </c>
      <c r="N54" s="108">
        <f t="shared" si="47"/>
        <v>741.87</v>
      </c>
      <c r="O54" s="108">
        <f t="shared" si="48"/>
        <v>0</v>
      </c>
      <c r="P54" s="108">
        <f t="shared" si="49"/>
        <v>0</v>
      </c>
      <c r="Q54" s="108">
        <f t="shared" si="50"/>
        <v>0</v>
      </c>
      <c r="R54" s="108">
        <f t="shared" si="51"/>
        <v>0</v>
      </c>
      <c r="S54" s="108">
        <f t="shared" si="52"/>
        <v>0</v>
      </c>
      <c r="T54" s="108">
        <f t="shared" si="53"/>
        <v>0</v>
      </c>
      <c r="U54" s="108">
        <f t="shared" si="54"/>
        <v>741.87</v>
      </c>
      <c r="V54" s="105"/>
      <c r="W54" s="108">
        <f t="shared" si="55"/>
        <v>0</v>
      </c>
      <c r="X54" s="108" t="e">
        <f>+ROUND(H54*M54*(VLOOKUP(M54,TABLAS!$B$29:$D$35,3,1)+1.125%),2)</f>
        <v>#N/A</v>
      </c>
      <c r="Y54" s="108">
        <f t="shared" si="56"/>
        <v>0</v>
      </c>
      <c r="Z54" s="108" t="e">
        <f t="shared" si="57"/>
        <v>#N/A</v>
      </c>
      <c r="AA54" s="105"/>
      <c r="AB54" s="108">
        <f t="shared" si="58"/>
        <v>741.87</v>
      </c>
      <c r="AC54" s="108" t="e">
        <f t="shared" si="59"/>
        <v>#N/A</v>
      </c>
      <c r="AD54" s="108">
        <f t="shared" si="60"/>
        <v>0</v>
      </c>
      <c r="AE54" s="108" t="e">
        <f t="shared" si="61"/>
        <v>#N/A</v>
      </c>
      <c r="AF54" s="105"/>
      <c r="AG54" s="108" t="e">
        <f t="shared" si="62"/>
        <v>#N/A</v>
      </c>
      <c r="AH54" s="108" t="e">
        <f t="shared" si="63"/>
        <v>#N/A</v>
      </c>
      <c r="AI54" s="108" t="e">
        <f t="shared" si="64"/>
        <v>#N/A</v>
      </c>
      <c r="AJ54" s="108" t="e">
        <f t="shared" si="65"/>
        <v>#N/A</v>
      </c>
      <c r="AK54" s="108" t="e">
        <f t="shared" si="66"/>
        <v>#N/A</v>
      </c>
      <c r="AL54" s="114" t="e">
        <f t="shared" si="67"/>
        <v>#N/A</v>
      </c>
      <c r="AM54" s="39"/>
    </row>
    <row r="55" spans="1:39" ht="12.75" customHeight="1" x14ac:dyDescent="0.25">
      <c r="A55" s="24">
        <f t="shared" si="21"/>
        <v>48</v>
      </c>
      <c r="B55" s="24"/>
      <c r="C55" s="24"/>
      <c r="D55" s="24"/>
      <c r="E55" s="24"/>
      <c r="F55" s="110" t="str">
        <f>NOMINA!B54</f>
        <v>Empleado 48</v>
      </c>
      <c r="G55" s="111" t="str">
        <f>NOMINA!C54</f>
        <v>Emp 048</v>
      </c>
      <c r="H55" s="112">
        <f t="shared" si="45"/>
        <v>31</v>
      </c>
      <c r="I55" s="109">
        <v>31</v>
      </c>
      <c r="J55" s="109">
        <v>0</v>
      </c>
      <c r="K55" s="109">
        <v>0</v>
      </c>
      <c r="L55" s="113">
        <f>+NOMINA!F54</f>
        <v>0</v>
      </c>
      <c r="M55" s="113">
        <f t="shared" si="46"/>
        <v>0</v>
      </c>
      <c r="N55" s="108">
        <f t="shared" si="47"/>
        <v>741.87</v>
      </c>
      <c r="O55" s="108">
        <f t="shared" si="48"/>
        <v>0</v>
      </c>
      <c r="P55" s="108">
        <f t="shared" si="49"/>
        <v>0</v>
      </c>
      <c r="Q55" s="108">
        <f t="shared" si="50"/>
        <v>0</v>
      </c>
      <c r="R55" s="108">
        <f t="shared" si="51"/>
        <v>0</v>
      </c>
      <c r="S55" s="108">
        <f t="shared" si="52"/>
        <v>0</v>
      </c>
      <c r="T55" s="108">
        <f t="shared" si="53"/>
        <v>0</v>
      </c>
      <c r="U55" s="108">
        <f t="shared" si="54"/>
        <v>741.87</v>
      </c>
      <c r="V55" s="105"/>
      <c r="W55" s="108">
        <f t="shared" si="55"/>
        <v>0</v>
      </c>
      <c r="X55" s="108" t="e">
        <f>+ROUND(H55*M55*(VLOOKUP(M55,TABLAS!$B$29:$D$35,3,1)+1.125%),2)</f>
        <v>#N/A</v>
      </c>
      <c r="Y55" s="108">
        <f t="shared" si="56"/>
        <v>0</v>
      </c>
      <c r="Z55" s="108" t="e">
        <f t="shared" si="57"/>
        <v>#N/A</v>
      </c>
      <c r="AA55" s="105"/>
      <c r="AB55" s="108">
        <f t="shared" si="58"/>
        <v>741.87</v>
      </c>
      <c r="AC55" s="108" t="e">
        <f t="shared" si="59"/>
        <v>#N/A</v>
      </c>
      <c r="AD55" s="108">
        <f t="shared" si="60"/>
        <v>0</v>
      </c>
      <c r="AE55" s="108" t="e">
        <f t="shared" si="61"/>
        <v>#N/A</v>
      </c>
      <c r="AF55" s="105"/>
      <c r="AG55" s="108" t="e">
        <f t="shared" si="62"/>
        <v>#N/A</v>
      </c>
      <c r="AH55" s="108" t="e">
        <f t="shared" si="63"/>
        <v>#N/A</v>
      </c>
      <c r="AI55" s="108" t="e">
        <f t="shared" si="64"/>
        <v>#N/A</v>
      </c>
      <c r="AJ55" s="108" t="e">
        <f t="shared" si="65"/>
        <v>#N/A</v>
      </c>
      <c r="AK55" s="108" t="e">
        <f t="shared" si="66"/>
        <v>#N/A</v>
      </c>
      <c r="AL55" s="114" t="e">
        <f t="shared" si="67"/>
        <v>#N/A</v>
      </c>
      <c r="AM55" s="39"/>
    </row>
    <row r="56" spans="1:39" ht="12.75" customHeight="1" x14ac:dyDescent="0.25">
      <c r="A56" s="24">
        <f t="shared" si="21"/>
        <v>49</v>
      </c>
      <c r="B56" s="24"/>
      <c r="C56" s="24"/>
      <c r="D56" s="24"/>
      <c r="E56" s="24"/>
      <c r="F56" s="110" t="str">
        <f>NOMINA!B55</f>
        <v>Empleado 49</v>
      </c>
      <c r="G56" s="111" t="str">
        <f>NOMINA!C55</f>
        <v>Emp 049</v>
      </c>
      <c r="H56" s="112">
        <f t="shared" si="45"/>
        <v>31</v>
      </c>
      <c r="I56" s="109">
        <v>31</v>
      </c>
      <c r="J56" s="109">
        <v>0</v>
      </c>
      <c r="K56" s="109">
        <v>0</v>
      </c>
      <c r="L56" s="113">
        <f>+NOMINA!F55</f>
        <v>0</v>
      </c>
      <c r="M56" s="113">
        <f t="shared" si="46"/>
        <v>0</v>
      </c>
      <c r="N56" s="108">
        <f t="shared" si="47"/>
        <v>741.87</v>
      </c>
      <c r="O56" s="108">
        <f t="shared" si="48"/>
        <v>0</v>
      </c>
      <c r="P56" s="108">
        <f t="shared" si="49"/>
        <v>0</v>
      </c>
      <c r="Q56" s="108">
        <f t="shared" si="50"/>
        <v>0</v>
      </c>
      <c r="R56" s="108">
        <f t="shared" si="51"/>
        <v>0</v>
      </c>
      <c r="S56" s="108">
        <f t="shared" si="52"/>
        <v>0</v>
      </c>
      <c r="T56" s="108">
        <f t="shared" si="53"/>
        <v>0</v>
      </c>
      <c r="U56" s="108">
        <f t="shared" si="54"/>
        <v>741.87</v>
      </c>
      <c r="V56" s="105"/>
      <c r="W56" s="108">
        <f t="shared" si="55"/>
        <v>0</v>
      </c>
      <c r="X56" s="108" t="e">
        <f>+ROUND(H56*M56*(VLOOKUP(M56,TABLAS!$B$29:$D$35,3,1)+1.125%),2)</f>
        <v>#N/A</v>
      </c>
      <c r="Y56" s="108">
        <f t="shared" si="56"/>
        <v>0</v>
      </c>
      <c r="Z56" s="108" t="e">
        <f t="shared" si="57"/>
        <v>#N/A</v>
      </c>
      <c r="AA56" s="105"/>
      <c r="AB56" s="108">
        <f t="shared" si="58"/>
        <v>741.87</v>
      </c>
      <c r="AC56" s="108" t="e">
        <f t="shared" si="59"/>
        <v>#N/A</v>
      </c>
      <c r="AD56" s="108">
        <f t="shared" si="60"/>
        <v>0</v>
      </c>
      <c r="AE56" s="108" t="e">
        <f t="shared" si="61"/>
        <v>#N/A</v>
      </c>
      <c r="AF56" s="105"/>
      <c r="AG56" s="108" t="e">
        <f t="shared" si="62"/>
        <v>#N/A</v>
      </c>
      <c r="AH56" s="108" t="e">
        <f t="shared" si="63"/>
        <v>#N/A</v>
      </c>
      <c r="AI56" s="108" t="e">
        <f t="shared" si="64"/>
        <v>#N/A</v>
      </c>
      <c r="AJ56" s="108" t="e">
        <f t="shared" si="65"/>
        <v>#N/A</v>
      </c>
      <c r="AK56" s="108" t="e">
        <f t="shared" si="66"/>
        <v>#N/A</v>
      </c>
      <c r="AL56" s="114" t="e">
        <f t="shared" si="67"/>
        <v>#N/A</v>
      </c>
      <c r="AM56" s="39"/>
    </row>
    <row r="57" spans="1:39" ht="12.75" customHeight="1" x14ac:dyDescent="0.25">
      <c r="A57" s="24">
        <f t="shared" si="21"/>
        <v>50</v>
      </c>
      <c r="B57" s="24"/>
      <c r="C57" s="24"/>
      <c r="D57" s="24"/>
      <c r="E57" s="24"/>
      <c r="F57" s="110" t="str">
        <f>NOMINA!B56</f>
        <v>Empleado 50</v>
      </c>
      <c r="G57" s="111" t="str">
        <f>NOMINA!C56</f>
        <v>Emp 050</v>
      </c>
      <c r="H57" s="112">
        <f t="shared" si="45"/>
        <v>31</v>
      </c>
      <c r="I57" s="109">
        <v>31</v>
      </c>
      <c r="J57" s="109">
        <v>0</v>
      </c>
      <c r="K57" s="109">
        <v>0</v>
      </c>
      <c r="L57" s="113">
        <f>+NOMINA!F56</f>
        <v>0</v>
      </c>
      <c r="M57" s="113">
        <f t="shared" si="46"/>
        <v>0</v>
      </c>
      <c r="N57" s="108">
        <f t="shared" si="47"/>
        <v>741.87</v>
      </c>
      <c r="O57" s="108">
        <f t="shared" si="48"/>
        <v>0</v>
      </c>
      <c r="P57" s="108">
        <f t="shared" si="49"/>
        <v>0</v>
      </c>
      <c r="Q57" s="108">
        <f t="shared" si="50"/>
        <v>0</v>
      </c>
      <c r="R57" s="108">
        <f t="shared" si="51"/>
        <v>0</v>
      </c>
      <c r="S57" s="108">
        <f t="shared" si="52"/>
        <v>0</v>
      </c>
      <c r="T57" s="108">
        <f t="shared" si="53"/>
        <v>0</v>
      </c>
      <c r="U57" s="108">
        <f t="shared" si="54"/>
        <v>741.87</v>
      </c>
      <c r="V57" s="105"/>
      <c r="W57" s="108">
        <f t="shared" si="55"/>
        <v>0</v>
      </c>
      <c r="X57" s="108" t="e">
        <f>+ROUND(H57*M57*(VLOOKUP(M57,TABLAS!$B$29:$D$35,3,1)+1.125%),2)</f>
        <v>#N/A</v>
      </c>
      <c r="Y57" s="108">
        <f t="shared" si="56"/>
        <v>0</v>
      </c>
      <c r="Z57" s="108" t="e">
        <f t="shared" si="57"/>
        <v>#N/A</v>
      </c>
      <c r="AA57" s="105"/>
      <c r="AB57" s="108">
        <f t="shared" si="58"/>
        <v>741.87</v>
      </c>
      <c r="AC57" s="108" t="e">
        <f t="shared" si="59"/>
        <v>#N/A</v>
      </c>
      <c r="AD57" s="108">
        <f t="shared" si="60"/>
        <v>0</v>
      </c>
      <c r="AE57" s="108" t="e">
        <f t="shared" si="61"/>
        <v>#N/A</v>
      </c>
      <c r="AF57" s="105"/>
      <c r="AG57" s="108" t="e">
        <f t="shared" si="62"/>
        <v>#N/A</v>
      </c>
      <c r="AH57" s="108" t="e">
        <f t="shared" si="63"/>
        <v>#N/A</v>
      </c>
      <c r="AI57" s="108" t="e">
        <f t="shared" si="64"/>
        <v>#N/A</v>
      </c>
      <c r="AJ57" s="108" t="e">
        <f t="shared" si="65"/>
        <v>#N/A</v>
      </c>
      <c r="AK57" s="108" t="e">
        <f t="shared" si="66"/>
        <v>#N/A</v>
      </c>
      <c r="AL57" s="114" t="e">
        <f t="shared" si="67"/>
        <v>#N/A</v>
      </c>
      <c r="AM57" s="39"/>
    </row>
    <row r="58" spans="1:39" ht="12.75" customHeight="1" x14ac:dyDescent="0.25">
      <c r="A58" s="24">
        <f t="shared" si="21"/>
        <v>51</v>
      </c>
      <c r="B58" s="24"/>
      <c r="C58" s="24"/>
      <c r="D58" s="24"/>
      <c r="E58" s="24"/>
      <c r="F58" s="110" t="str">
        <f>NOMINA!B57</f>
        <v>Empleado 51</v>
      </c>
      <c r="G58" s="111" t="str">
        <f>NOMINA!C57</f>
        <v>Emp 051</v>
      </c>
      <c r="H58" s="112">
        <f t="shared" si="45"/>
        <v>31</v>
      </c>
      <c r="I58" s="109">
        <v>31</v>
      </c>
      <c r="J58" s="109">
        <v>0</v>
      </c>
      <c r="K58" s="109">
        <v>0</v>
      </c>
      <c r="L58" s="113">
        <f>+NOMINA!F57</f>
        <v>0</v>
      </c>
      <c r="M58" s="113">
        <f t="shared" si="46"/>
        <v>0</v>
      </c>
      <c r="N58" s="108">
        <f t="shared" si="47"/>
        <v>741.87</v>
      </c>
      <c r="O58" s="108">
        <f t="shared" si="48"/>
        <v>0</v>
      </c>
      <c r="P58" s="108">
        <f t="shared" si="49"/>
        <v>0</v>
      </c>
      <c r="Q58" s="108">
        <f t="shared" si="50"/>
        <v>0</v>
      </c>
      <c r="R58" s="108">
        <f t="shared" si="51"/>
        <v>0</v>
      </c>
      <c r="S58" s="108">
        <f t="shared" si="52"/>
        <v>0</v>
      </c>
      <c r="T58" s="108">
        <f t="shared" si="53"/>
        <v>0</v>
      </c>
      <c r="U58" s="108">
        <f t="shared" si="54"/>
        <v>741.87</v>
      </c>
      <c r="V58" s="105"/>
      <c r="W58" s="108">
        <f t="shared" si="55"/>
        <v>0</v>
      </c>
      <c r="X58" s="108" t="e">
        <f>+ROUND(H58*M58*(VLOOKUP(M58,TABLAS!$B$29:$D$35,3,1)+1.125%),2)</f>
        <v>#N/A</v>
      </c>
      <c r="Y58" s="108">
        <f t="shared" si="56"/>
        <v>0</v>
      </c>
      <c r="Z58" s="108" t="e">
        <f t="shared" si="57"/>
        <v>#N/A</v>
      </c>
      <c r="AA58" s="105"/>
      <c r="AB58" s="108">
        <f t="shared" si="58"/>
        <v>741.87</v>
      </c>
      <c r="AC58" s="108" t="e">
        <f t="shared" si="59"/>
        <v>#N/A</v>
      </c>
      <c r="AD58" s="108">
        <f t="shared" si="60"/>
        <v>0</v>
      </c>
      <c r="AE58" s="108" t="e">
        <f t="shared" si="61"/>
        <v>#N/A</v>
      </c>
      <c r="AF58" s="105"/>
      <c r="AG58" s="108" t="e">
        <f t="shared" si="62"/>
        <v>#N/A</v>
      </c>
      <c r="AH58" s="108" t="e">
        <f t="shared" si="63"/>
        <v>#N/A</v>
      </c>
      <c r="AI58" s="108" t="e">
        <f t="shared" si="64"/>
        <v>#N/A</v>
      </c>
      <c r="AJ58" s="108" t="e">
        <f t="shared" si="65"/>
        <v>#N/A</v>
      </c>
      <c r="AK58" s="108" t="e">
        <f t="shared" si="66"/>
        <v>#N/A</v>
      </c>
      <c r="AL58" s="114" t="e">
        <f t="shared" si="67"/>
        <v>#N/A</v>
      </c>
      <c r="AM58" s="39"/>
    </row>
    <row r="59" spans="1:39" ht="12.75" customHeight="1" x14ac:dyDescent="0.25">
      <c r="A59" s="24">
        <f t="shared" si="21"/>
        <v>52</v>
      </c>
      <c r="B59" s="24"/>
      <c r="C59" s="24"/>
      <c r="D59" s="24"/>
      <c r="E59" s="24"/>
      <c r="F59" s="110" t="str">
        <f>NOMINA!B58</f>
        <v>Empleado 52</v>
      </c>
      <c r="G59" s="111" t="str">
        <f>NOMINA!C58</f>
        <v>Emp 052</v>
      </c>
      <c r="H59" s="112">
        <f t="shared" si="45"/>
        <v>31</v>
      </c>
      <c r="I59" s="109">
        <v>31</v>
      </c>
      <c r="J59" s="109">
        <v>0</v>
      </c>
      <c r="K59" s="109">
        <v>0</v>
      </c>
      <c r="L59" s="113">
        <f>+NOMINA!F58</f>
        <v>0</v>
      </c>
      <c r="M59" s="113">
        <f t="shared" si="46"/>
        <v>0</v>
      </c>
      <c r="N59" s="108">
        <f t="shared" si="47"/>
        <v>741.87</v>
      </c>
      <c r="O59" s="108">
        <f t="shared" si="48"/>
        <v>0</v>
      </c>
      <c r="P59" s="108">
        <f t="shared" si="49"/>
        <v>0</v>
      </c>
      <c r="Q59" s="108">
        <f t="shared" si="50"/>
        <v>0</v>
      </c>
      <c r="R59" s="108">
        <f t="shared" si="51"/>
        <v>0</v>
      </c>
      <c r="S59" s="108">
        <f t="shared" si="52"/>
        <v>0</v>
      </c>
      <c r="T59" s="108">
        <f t="shared" si="53"/>
        <v>0</v>
      </c>
      <c r="U59" s="108">
        <f t="shared" si="54"/>
        <v>741.87</v>
      </c>
      <c r="V59" s="105"/>
      <c r="W59" s="108">
        <f t="shared" si="55"/>
        <v>0</v>
      </c>
      <c r="X59" s="108" t="e">
        <f>+ROUND(H59*M59*(VLOOKUP(M59,TABLAS!$B$29:$D$35,3,1)+1.125%),2)</f>
        <v>#N/A</v>
      </c>
      <c r="Y59" s="108">
        <f t="shared" si="56"/>
        <v>0</v>
      </c>
      <c r="Z59" s="108" t="e">
        <f t="shared" si="57"/>
        <v>#N/A</v>
      </c>
      <c r="AA59" s="105"/>
      <c r="AB59" s="108">
        <f t="shared" si="58"/>
        <v>741.87</v>
      </c>
      <c r="AC59" s="108" t="e">
        <f t="shared" si="59"/>
        <v>#N/A</v>
      </c>
      <c r="AD59" s="108">
        <f t="shared" si="60"/>
        <v>0</v>
      </c>
      <c r="AE59" s="108" t="e">
        <f t="shared" si="61"/>
        <v>#N/A</v>
      </c>
      <c r="AF59" s="105"/>
      <c r="AG59" s="108" t="e">
        <f t="shared" si="62"/>
        <v>#N/A</v>
      </c>
      <c r="AH59" s="108" t="e">
        <f t="shared" si="63"/>
        <v>#N/A</v>
      </c>
      <c r="AI59" s="108" t="e">
        <f t="shared" si="64"/>
        <v>#N/A</v>
      </c>
      <c r="AJ59" s="108" t="e">
        <f t="shared" si="65"/>
        <v>#N/A</v>
      </c>
      <c r="AK59" s="108" t="e">
        <f t="shared" si="66"/>
        <v>#N/A</v>
      </c>
      <c r="AL59" s="114" t="e">
        <f t="shared" si="67"/>
        <v>#N/A</v>
      </c>
      <c r="AM59" s="39"/>
    </row>
    <row r="60" spans="1:39" ht="12.75" customHeight="1" x14ac:dyDescent="0.25">
      <c r="A60" s="24">
        <f t="shared" si="21"/>
        <v>53</v>
      </c>
      <c r="B60" s="24"/>
      <c r="C60" s="24"/>
      <c r="D60" s="24"/>
      <c r="E60" s="24"/>
      <c r="F60" s="110" t="str">
        <f>NOMINA!B59</f>
        <v>Empleado 53</v>
      </c>
      <c r="G60" s="111" t="str">
        <f>NOMINA!C59</f>
        <v>Emp 053</v>
      </c>
      <c r="H60" s="112">
        <f t="shared" si="45"/>
        <v>31</v>
      </c>
      <c r="I60" s="109">
        <v>31</v>
      </c>
      <c r="J60" s="109">
        <v>0</v>
      </c>
      <c r="K60" s="109">
        <v>0</v>
      </c>
      <c r="L60" s="113">
        <f>+NOMINA!F59</f>
        <v>0</v>
      </c>
      <c r="M60" s="113">
        <f t="shared" si="46"/>
        <v>0</v>
      </c>
      <c r="N60" s="108">
        <f t="shared" si="47"/>
        <v>741.87</v>
      </c>
      <c r="O60" s="108">
        <f t="shared" si="48"/>
        <v>0</v>
      </c>
      <c r="P60" s="108">
        <f t="shared" si="49"/>
        <v>0</v>
      </c>
      <c r="Q60" s="108">
        <f t="shared" si="50"/>
        <v>0</v>
      </c>
      <c r="R60" s="108">
        <f t="shared" si="51"/>
        <v>0</v>
      </c>
      <c r="S60" s="108">
        <f t="shared" si="52"/>
        <v>0</v>
      </c>
      <c r="T60" s="108">
        <f t="shared" si="53"/>
        <v>0</v>
      </c>
      <c r="U60" s="108">
        <f t="shared" si="54"/>
        <v>741.87</v>
      </c>
      <c r="V60" s="105"/>
      <c r="W60" s="108">
        <f t="shared" si="55"/>
        <v>0</v>
      </c>
      <c r="X60" s="108" t="e">
        <f>+ROUND(H60*M60*(VLOOKUP(M60,TABLAS!$B$29:$D$35,3,1)+1.125%),2)</f>
        <v>#N/A</v>
      </c>
      <c r="Y60" s="108">
        <f t="shared" si="56"/>
        <v>0</v>
      </c>
      <c r="Z60" s="108" t="e">
        <f t="shared" si="57"/>
        <v>#N/A</v>
      </c>
      <c r="AA60" s="105"/>
      <c r="AB60" s="108">
        <f t="shared" si="58"/>
        <v>741.87</v>
      </c>
      <c r="AC60" s="108" t="e">
        <f t="shared" si="59"/>
        <v>#N/A</v>
      </c>
      <c r="AD60" s="108">
        <f t="shared" si="60"/>
        <v>0</v>
      </c>
      <c r="AE60" s="108" t="e">
        <f t="shared" si="61"/>
        <v>#N/A</v>
      </c>
      <c r="AF60" s="105"/>
      <c r="AG60" s="108" t="e">
        <f t="shared" si="62"/>
        <v>#N/A</v>
      </c>
      <c r="AH60" s="108" t="e">
        <f t="shared" si="63"/>
        <v>#N/A</v>
      </c>
      <c r="AI60" s="108" t="e">
        <f t="shared" si="64"/>
        <v>#N/A</v>
      </c>
      <c r="AJ60" s="108" t="e">
        <f t="shared" si="65"/>
        <v>#N/A</v>
      </c>
      <c r="AK60" s="108" t="e">
        <f t="shared" si="66"/>
        <v>#N/A</v>
      </c>
      <c r="AL60" s="114" t="e">
        <f t="shared" si="67"/>
        <v>#N/A</v>
      </c>
      <c r="AM60" s="39"/>
    </row>
    <row r="61" spans="1:39" ht="12.75" customHeight="1" x14ac:dyDescent="0.25">
      <c r="A61" s="24">
        <f t="shared" si="21"/>
        <v>54</v>
      </c>
      <c r="B61" s="24"/>
      <c r="C61" s="24"/>
      <c r="D61" s="24"/>
      <c r="E61" s="24"/>
      <c r="F61" s="110" t="str">
        <f>NOMINA!B60</f>
        <v>Empleado 54</v>
      </c>
      <c r="G61" s="111" t="str">
        <f>NOMINA!C60</f>
        <v>Emp 054</v>
      </c>
      <c r="H61" s="112">
        <f t="shared" si="45"/>
        <v>31</v>
      </c>
      <c r="I61" s="109">
        <v>31</v>
      </c>
      <c r="J61" s="109">
        <v>0</v>
      </c>
      <c r="K61" s="109">
        <v>0</v>
      </c>
      <c r="L61" s="113">
        <f>+NOMINA!F60</f>
        <v>0</v>
      </c>
      <c r="M61" s="113">
        <f t="shared" si="46"/>
        <v>0</v>
      </c>
      <c r="N61" s="108">
        <f t="shared" si="47"/>
        <v>741.87</v>
      </c>
      <c r="O61" s="108">
        <f t="shared" si="48"/>
        <v>0</v>
      </c>
      <c r="P61" s="108">
        <f t="shared" si="49"/>
        <v>0</v>
      </c>
      <c r="Q61" s="108">
        <f t="shared" si="50"/>
        <v>0</v>
      </c>
      <c r="R61" s="108">
        <f t="shared" si="51"/>
        <v>0</v>
      </c>
      <c r="S61" s="108">
        <f t="shared" si="52"/>
        <v>0</v>
      </c>
      <c r="T61" s="108">
        <f t="shared" si="53"/>
        <v>0</v>
      </c>
      <c r="U61" s="108">
        <f t="shared" si="54"/>
        <v>741.87</v>
      </c>
      <c r="V61" s="105"/>
      <c r="W61" s="108">
        <f t="shared" si="55"/>
        <v>0</v>
      </c>
      <c r="X61" s="108" t="e">
        <f>+ROUND(H61*M61*(VLOOKUP(M61,TABLAS!$B$29:$D$35,3,1)+1.125%),2)</f>
        <v>#N/A</v>
      </c>
      <c r="Y61" s="108">
        <f t="shared" si="56"/>
        <v>0</v>
      </c>
      <c r="Z61" s="108" t="e">
        <f t="shared" si="57"/>
        <v>#N/A</v>
      </c>
      <c r="AA61" s="105"/>
      <c r="AB61" s="108">
        <f t="shared" si="58"/>
        <v>741.87</v>
      </c>
      <c r="AC61" s="108" t="e">
        <f t="shared" si="59"/>
        <v>#N/A</v>
      </c>
      <c r="AD61" s="108">
        <f t="shared" si="60"/>
        <v>0</v>
      </c>
      <c r="AE61" s="108" t="e">
        <f t="shared" si="61"/>
        <v>#N/A</v>
      </c>
      <c r="AF61" s="105"/>
      <c r="AG61" s="108" t="e">
        <f t="shared" si="62"/>
        <v>#N/A</v>
      </c>
      <c r="AH61" s="108" t="e">
        <f t="shared" si="63"/>
        <v>#N/A</v>
      </c>
      <c r="AI61" s="108" t="e">
        <f t="shared" si="64"/>
        <v>#N/A</v>
      </c>
      <c r="AJ61" s="108" t="e">
        <f t="shared" si="65"/>
        <v>#N/A</v>
      </c>
      <c r="AK61" s="108" t="e">
        <f t="shared" si="66"/>
        <v>#N/A</v>
      </c>
      <c r="AL61" s="114" t="e">
        <f t="shared" si="67"/>
        <v>#N/A</v>
      </c>
      <c r="AM61" s="39"/>
    </row>
    <row r="62" spans="1:39" ht="12.75" customHeight="1" x14ac:dyDescent="0.25">
      <c r="A62" s="24">
        <f t="shared" si="21"/>
        <v>55</v>
      </c>
      <c r="B62" s="24"/>
      <c r="C62" s="24"/>
      <c r="D62" s="24"/>
      <c r="E62" s="24"/>
      <c r="F62" s="110" t="str">
        <f>NOMINA!B61</f>
        <v>Empleado 55</v>
      </c>
      <c r="G62" s="111" t="str">
        <f>NOMINA!C61</f>
        <v>Emp 055</v>
      </c>
      <c r="H62" s="112">
        <f t="shared" si="45"/>
        <v>31</v>
      </c>
      <c r="I62" s="109">
        <v>31</v>
      </c>
      <c r="J62" s="109">
        <v>0</v>
      </c>
      <c r="K62" s="109">
        <v>0</v>
      </c>
      <c r="L62" s="113">
        <f>+NOMINA!F61</f>
        <v>0</v>
      </c>
      <c r="M62" s="113">
        <f t="shared" si="46"/>
        <v>0</v>
      </c>
      <c r="N62" s="108">
        <f t="shared" si="47"/>
        <v>741.87</v>
      </c>
      <c r="O62" s="108">
        <f t="shared" si="48"/>
        <v>0</v>
      </c>
      <c r="P62" s="108">
        <f t="shared" si="49"/>
        <v>0</v>
      </c>
      <c r="Q62" s="108">
        <f t="shared" si="50"/>
        <v>0</v>
      </c>
      <c r="R62" s="108">
        <f t="shared" si="51"/>
        <v>0</v>
      </c>
      <c r="S62" s="108">
        <f t="shared" si="52"/>
        <v>0</v>
      </c>
      <c r="T62" s="108">
        <f t="shared" si="53"/>
        <v>0</v>
      </c>
      <c r="U62" s="108">
        <f t="shared" si="54"/>
        <v>741.87</v>
      </c>
      <c r="V62" s="105"/>
      <c r="W62" s="108">
        <f t="shared" si="55"/>
        <v>0</v>
      </c>
      <c r="X62" s="108" t="e">
        <f>+ROUND(H62*M62*(VLOOKUP(M62,TABLAS!$B$29:$D$35,3,1)+1.125%),2)</f>
        <v>#N/A</v>
      </c>
      <c r="Y62" s="108">
        <f t="shared" si="56"/>
        <v>0</v>
      </c>
      <c r="Z62" s="108" t="e">
        <f t="shared" si="57"/>
        <v>#N/A</v>
      </c>
      <c r="AA62" s="105"/>
      <c r="AB62" s="108">
        <f t="shared" si="58"/>
        <v>741.87</v>
      </c>
      <c r="AC62" s="108" t="e">
        <f t="shared" si="59"/>
        <v>#N/A</v>
      </c>
      <c r="AD62" s="108">
        <f t="shared" si="60"/>
        <v>0</v>
      </c>
      <c r="AE62" s="108" t="e">
        <f t="shared" si="61"/>
        <v>#N/A</v>
      </c>
      <c r="AF62" s="105"/>
      <c r="AG62" s="108" t="e">
        <f t="shared" si="62"/>
        <v>#N/A</v>
      </c>
      <c r="AH62" s="108" t="e">
        <f t="shared" si="63"/>
        <v>#N/A</v>
      </c>
      <c r="AI62" s="108" t="e">
        <f t="shared" si="64"/>
        <v>#N/A</v>
      </c>
      <c r="AJ62" s="108" t="e">
        <f t="shared" si="65"/>
        <v>#N/A</v>
      </c>
      <c r="AK62" s="108" t="e">
        <f t="shared" si="66"/>
        <v>#N/A</v>
      </c>
      <c r="AL62" s="114" t="e">
        <f t="shared" si="67"/>
        <v>#N/A</v>
      </c>
      <c r="AM62" s="39"/>
    </row>
    <row r="63" spans="1:39" ht="12.75" customHeight="1" x14ac:dyDescent="0.25">
      <c r="A63" s="24">
        <f t="shared" si="21"/>
        <v>56</v>
      </c>
      <c r="B63" s="24"/>
      <c r="C63" s="24"/>
      <c r="D63" s="24"/>
      <c r="E63" s="24"/>
      <c r="F63" s="110" t="str">
        <f>NOMINA!B62</f>
        <v>Empleado 56</v>
      </c>
      <c r="G63" s="111" t="str">
        <f>NOMINA!C62</f>
        <v>Emp 056</v>
      </c>
      <c r="H63" s="112">
        <f t="shared" si="45"/>
        <v>31</v>
      </c>
      <c r="I63" s="109">
        <v>31</v>
      </c>
      <c r="J63" s="109">
        <v>0</v>
      </c>
      <c r="K63" s="109">
        <v>0</v>
      </c>
      <c r="L63" s="113">
        <f>+NOMINA!F62</f>
        <v>0</v>
      </c>
      <c r="M63" s="113">
        <f t="shared" si="46"/>
        <v>0</v>
      </c>
      <c r="N63" s="108">
        <f t="shared" si="47"/>
        <v>741.87</v>
      </c>
      <c r="O63" s="108">
        <f t="shared" si="48"/>
        <v>0</v>
      </c>
      <c r="P63" s="108">
        <f t="shared" si="49"/>
        <v>0</v>
      </c>
      <c r="Q63" s="108">
        <f t="shared" si="50"/>
        <v>0</v>
      </c>
      <c r="R63" s="108">
        <f t="shared" si="51"/>
        <v>0</v>
      </c>
      <c r="S63" s="108">
        <f t="shared" si="52"/>
        <v>0</v>
      </c>
      <c r="T63" s="108">
        <f t="shared" si="53"/>
        <v>0</v>
      </c>
      <c r="U63" s="108">
        <f t="shared" si="54"/>
        <v>741.87</v>
      </c>
      <c r="V63" s="105"/>
      <c r="W63" s="108">
        <f t="shared" si="55"/>
        <v>0</v>
      </c>
      <c r="X63" s="108" t="e">
        <f>+ROUND(H63*M63*(VLOOKUP(M63,TABLAS!$B$29:$D$35,3,1)+1.125%),2)</f>
        <v>#N/A</v>
      </c>
      <c r="Y63" s="108">
        <f t="shared" si="56"/>
        <v>0</v>
      </c>
      <c r="Z63" s="108" t="e">
        <f t="shared" si="57"/>
        <v>#N/A</v>
      </c>
      <c r="AA63" s="105"/>
      <c r="AB63" s="108">
        <f t="shared" si="58"/>
        <v>741.87</v>
      </c>
      <c r="AC63" s="108" t="e">
        <f t="shared" si="59"/>
        <v>#N/A</v>
      </c>
      <c r="AD63" s="108">
        <f t="shared" si="60"/>
        <v>0</v>
      </c>
      <c r="AE63" s="108" t="e">
        <f t="shared" si="61"/>
        <v>#N/A</v>
      </c>
      <c r="AF63" s="105"/>
      <c r="AG63" s="108" t="e">
        <f t="shared" si="62"/>
        <v>#N/A</v>
      </c>
      <c r="AH63" s="108" t="e">
        <f t="shared" si="63"/>
        <v>#N/A</v>
      </c>
      <c r="AI63" s="108" t="e">
        <f t="shared" si="64"/>
        <v>#N/A</v>
      </c>
      <c r="AJ63" s="108" t="e">
        <f t="shared" si="65"/>
        <v>#N/A</v>
      </c>
      <c r="AK63" s="108" t="e">
        <f t="shared" si="66"/>
        <v>#N/A</v>
      </c>
      <c r="AL63" s="114" t="e">
        <f t="shared" si="67"/>
        <v>#N/A</v>
      </c>
      <c r="AM63" s="39"/>
    </row>
    <row r="64" spans="1:39" ht="12.75" customHeight="1" x14ac:dyDescent="0.25">
      <c r="A64" s="24">
        <f t="shared" si="21"/>
        <v>57</v>
      </c>
      <c r="B64" s="24"/>
      <c r="C64" s="24"/>
      <c r="D64" s="24"/>
      <c r="E64" s="24"/>
      <c r="F64" s="110" t="str">
        <f>NOMINA!B63</f>
        <v>Empleado 57</v>
      </c>
      <c r="G64" s="111" t="str">
        <f>NOMINA!C63</f>
        <v>Emp 057</v>
      </c>
      <c r="H64" s="112">
        <f t="shared" si="45"/>
        <v>31</v>
      </c>
      <c r="I64" s="109">
        <v>31</v>
      </c>
      <c r="J64" s="109">
        <v>0</v>
      </c>
      <c r="K64" s="109">
        <v>0</v>
      </c>
      <c r="L64" s="113">
        <f>+NOMINA!F63</f>
        <v>0</v>
      </c>
      <c r="M64" s="113">
        <f t="shared" si="46"/>
        <v>0</v>
      </c>
      <c r="N64" s="108">
        <f t="shared" si="47"/>
        <v>741.87</v>
      </c>
      <c r="O64" s="108">
        <f t="shared" si="48"/>
        <v>0</v>
      </c>
      <c r="P64" s="108">
        <f t="shared" si="49"/>
        <v>0</v>
      </c>
      <c r="Q64" s="108">
        <f t="shared" si="50"/>
        <v>0</v>
      </c>
      <c r="R64" s="108">
        <f t="shared" si="51"/>
        <v>0</v>
      </c>
      <c r="S64" s="108">
        <f t="shared" si="52"/>
        <v>0</v>
      </c>
      <c r="T64" s="108">
        <f t="shared" si="53"/>
        <v>0</v>
      </c>
      <c r="U64" s="108">
        <f t="shared" si="54"/>
        <v>741.87</v>
      </c>
      <c r="V64" s="105"/>
      <c r="W64" s="108">
        <f t="shared" si="55"/>
        <v>0</v>
      </c>
      <c r="X64" s="108" t="e">
        <f>+ROUND(H64*M64*(VLOOKUP(M64,TABLAS!$B$29:$D$35,3,1)+1.125%),2)</f>
        <v>#N/A</v>
      </c>
      <c r="Y64" s="108">
        <f t="shared" si="56"/>
        <v>0</v>
      </c>
      <c r="Z64" s="108" t="e">
        <f t="shared" si="57"/>
        <v>#N/A</v>
      </c>
      <c r="AA64" s="105"/>
      <c r="AB64" s="108">
        <f t="shared" si="58"/>
        <v>741.87</v>
      </c>
      <c r="AC64" s="108" t="e">
        <f t="shared" si="59"/>
        <v>#N/A</v>
      </c>
      <c r="AD64" s="108">
        <f t="shared" si="60"/>
        <v>0</v>
      </c>
      <c r="AE64" s="108" t="e">
        <f t="shared" si="61"/>
        <v>#N/A</v>
      </c>
      <c r="AF64" s="105"/>
      <c r="AG64" s="108" t="e">
        <f t="shared" si="62"/>
        <v>#N/A</v>
      </c>
      <c r="AH64" s="108" t="e">
        <f t="shared" si="63"/>
        <v>#N/A</v>
      </c>
      <c r="AI64" s="108" t="e">
        <f t="shared" si="64"/>
        <v>#N/A</v>
      </c>
      <c r="AJ64" s="108" t="e">
        <f t="shared" si="65"/>
        <v>#N/A</v>
      </c>
      <c r="AK64" s="108" t="e">
        <f t="shared" si="66"/>
        <v>#N/A</v>
      </c>
      <c r="AL64" s="114" t="e">
        <f t="shared" si="67"/>
        <v>#N/A</v>
      </c>
      <c r="AM64" s="39"/>
    </row>
    <row r="65" spans="1:39" ht="12.75" customHeight="1" x14ac:dyDescent="0.25">
      <c r="A65" s="24">
        <f t="shared" si="21"/>
        <v>58</v>
      </c>
      <c r="B65" s="24"/>
      <c r="C65" s="24"/>
      <c r="D65" s="24"/>
      <c r="E65" s="24"/>
      <c r="F65" s="110" t="str">
        <f>NOMINA!B64</f>
        <v>Empleado 58</v>
      </c>
      <c r="G65" s="111" t="str">
        <f>NOMINA!C64</f>
        <v>Emp 058</v>
      </c>
      <c r="H65" s="112">
        <f t="shared" si="45"/>
        <v>31</v>
      </c>
      <c r="I65" s="109">
        <v>31</v>
      </c>
      <c r="J65" s="109">
        <v>0</v>
      </c>
      <c r="K65" s="109">
        <v>0</v>
      </c>
      <c r="L65" s="113">
        <f>+NOMINA!F64</f>
        <v>0</v>
      </c>
      <c r="M65" s="113">
        <f t="shared" si="46"/>
        <v>0</v>
      </c>
      <c r="N65" s="108">
        <f t="shared" si="47"/>
        <v>741.87</v>
      </c>
      <c r="O65" s="108">
        <f t="shared" si="48"/>
        <v>0</v>
      </c>
      <c r="P65" s="108">
        <f t="shared" si="49"/>
        <v>0</v>
      </c>
      <c r="Q65" s="108">
        <f t="shared" si="50"/>
        <v>0</v>
      </c>
      <c r="R65" s="108">
        <f t="shared" si="51"/>
        <v>0</v>
      </c>
      <c r="S65" s="108">
        <f t="shared" si="52"/>
        <v>0</v>
      </c>
      <c r="T65" s="108">
        <f t="shared" si="53"/>
        <v>0</v>
      </c>
      <c r="U65" s="108">
        <f t="shared" si="54"/>
        <v>741.87</v>
      </c>
      <c r="V65" s="105"/>
      <c r="W65" s="108">
        <f t="shared" si="55"/>
        <v>0</v>
      </c>
      <c r="X65" s="108" t="e">
        <f>+ROUND(H65*M65*(VLOOKUP(M65,TABLAS!$B$29:$D$35,3,1)+1.125%),2)</f>
        <v>#N/A</v>
      </c>
      <c r="Y65" s="108">
        <f t="shared" si="56"/>
        <v>0</v>
      </c>
      <c r="Z65" s="108" t="e">
        <f t="shared" si="57"/>
        <v>#N/A</v>
      </c>
      <c r="AA65" s="105"/>
      <c r="AB65" s="108">
        <f t="shared" si="58"/>
        <v>741.87</v>
      </c>
      <c r="AC65" s="108" t="e">
        <f t="shared" si="59"/>
        <v>#N/A</v>
      </c>
      <c r="AD65" s="108">
        <f t="shared" si="60"/>
        <v>0</v>
      </c>
      <c r="AE65" s="108" t="e">
        <f t="shared" si="61"/>
        <v>#N/A</v>
      </c>
      <c r="AF65" s="105"/>
      <c r="AG65" s="108" t="e">
        <f t="shared" si="62"/>
        <v>#N/A</v>
      </c>
      <c r="AH65" s="108" t="e">
        <f t="shared" si="63"/>
        <v>#N/A</v>
      </c>
      <c r="AI65" s="108" t="e">
        <f t="shared" si="64"/>
        <v>#N/A</v>
      </c>
      <c r="AJ65" s="108" t="e">
        <f t="shared" si="65"/>
        <v>#N/A</v>
      </c>
      <c r="AK65" s="108" t="e">
        <f t="shared" si="66"/>
        <v>#N/A</v>
      </c>
      <c r="AL65" s="114" t="e">
        <f t="shared" si="67"/>
        <v>#N/A</v>
      </c>
      <c r="AM65" s="39"/>
    </row>
    <row r="66" spans="1:39" ht="12.75" customHeight="1" x14ac:dyDescent="0.25">
      <c r="A66" s="24">
        <f t="shared" si="21"/>
        <v>59</v>
      </c>
      <c r="B66" s="24"/>
      <c r="C66" s="24"/>
      <c r="D66" s="24"/>
      <c r="E66" s="24"/>
      <c r="F66" s="110" t="str">
        <f>NOMINA!B65</f>
        <v>Empleado 59</v>
      </c>
      <c r="G66" s="111" t="str">
        <f>NOMINA!C65</f>
        <v>Emp 059</v>
      </c>
      <c r="H66" s="112">
        <f t="shared" si="45"/>
        <v>31</v>
      </c>
      <c r="I66" s="109">
        <v>31</v>
      </c>
      <c r="J66" s="109">
        <v>0</v>
      </c>
      <c r="K66" s="109">
        <v>0</v>
      </c>
      <c r="L66" s="113">
        <f>+NOMINA!F65</f>
        <v>0</v>
      </c>
      <c r="M66" s="113">
        <f t="shared" si="46"/>
        <v>0</v>
      </c>
      <c r="N66" s="108">
        <f t="shared" si="47"/>
        <v>741.87</v>
      </c>
      <c r="O66" s="108">
        <f t="shared" si="48"/>
        <v>0</v>
      </c>
      <c r="P66" s="108">
        <f t="shared" si="49"/>
        <v>0</v>
      </c>
      <c r="Q66" s="108">
        <f t="shared" si="50"/>
        <v>0</v>
      </c>
      <c r="R66" s="108">
        <f t="shared" si="51"/>
        <v>0</v>
      </c>
      <c r="S66" s="108">
        <f t="shared" si="52"/>
        <v>0</v>
      </c>
      <c r="T66" s="108">
        <f t="shared" si="53"/>
        <v>0</v>
      </c>
      <c r="U66" s="108">
        <f t="shared" si="54"/>
        <v>741.87</v>
      </c>
      <c r="V66" s="105"/>
      <c r="W66" s="108">
        <f t="shared" si="55"/>
        <v>0</v>
      </c>
      <c r="X66" s="108" t="e">
        <f>+ROUND(H66*M66*(VLOOKUP(M66,TABLAS!$B$29:$D$35,3,1)+1.125%),2)</f>
        <v>#N/A</v>
      </c>
      <c r="Y66" s="108">
        <f t="shared" si="56"/>
        <v>0</v>
      </c>
      <c r="Z66" s="108" t="e">
        <f t="shared" si="57"/>
        <v>#N/A</v>
      </c>
      <c r="AA66" s="105"/>
      <c r="AB66" s="108">
        <f t="shared" si="58"/>
        <v>741.87</v>
      </c>
      <c r="AC66" s="108" t="e">
        <f t="shared" si="59"/>
        <v>#N/A</v>
      </c>
      <c r="AD66" s="108">
        <f t="shared" si="60"/>
        <v>0</v>
      </c>
      <c r="AE66" s="108" t="e">
        <f t="shared" si="61"/>
        <v>#N/A</v>
      </c>
      <c r="AF66" s="105"/>
      <c r="AG66" s="108" t="e">
        <f t="shared" si="62"/>
        <v>#N/A</v>
      </c>
      <c r="AH66" s="108" t="e">
        <f t="shared" si="63"/>
        <v>#N/A</v>
      </c>
      <c r="AI66" s="108" t="e">
        <f t="shared" si="64"/>
        <v>#N/A</v>
      </c>
      <c r="AJ66" s="108" t="e">
        <f t="shared" si="65"/>
        <v>#N/A</v>
      </c>
      <c r="AK66" s="108" t="e">
        <f t="shared" si="66"/>
        <v>#N/A</v>
      </c>
      <c r="AL66" s="114" t="e">
        <f t="shared" si="67"/>
        <v>#N/A</v>
      </c>
      <c r="AM66" s="39"/>
    </row>
    <row r="67" spans="1:39" ht="12.75" customHeight="1" x14ac:dyDescent="0.25">
      <c r="A67" s="24">
        <f t="shared" si="21"/>
        <v>60</v>
      </c>
      <c r="B67" s="24"/>
      <c r="C67" s="24"/>
      <c r="D67" s="24"/>
      <c r="E67" s="24"/>
      <c r="F67" s="110" t="str">
        <f>NOMINA!B66</f>
        <v>Empleado 60</v>
      </c>
      <c r="G67" s="111" t="str">
        <f>NOMINA!C66</f>
        <v>Emp 060</v>
      </c>
      <c r="H67" s="112">
        <f t="shared" si="45"/>
        <v>31</v>
      </c>
      <c r="I67" s="109">
        <v>31</v>
      </c>
      <c r="J67" s="109">
        <v>0</v>
      </c>
      <c r="K67" s="109">
        <v>0</v>
      </c>
      <c r="L67" s="113">
        <f>+NOMINA!F66</f>
        <v>0</v>
      </c>
      <c r="M67" s="113">
        <f t="shared" si="46"/>
        <v>0</v>
      </c>
      <c r="N67" s="108">
        <f t="shared" si="47"/>
        <v>741.87</v>
      </c>
      <c r="O67" s="108">
        <f t="shared" si="48"/>
        <v>0</v>
      </c>
      <c r="P67" s="108">
        <f t="shared" si="49"/>
        <v>0</v>
      </c>
      <c r="Q67" s="108">
        <f t="shared" si="50"/>
        <v>0</v>
      </c>
      <c r="R67" s="108">
        <f t="shared" si="51"/>
        <v>0</v>
      </c>
      <c r="S67" s="108">
        <f t="shared" si="52"/>
        <v>0</v>
      </c>
      <c r="T67" s="108">
        <f t="shared" si="53"/>
        <v>0</v>
      </c>
      <c r="U67" s="108">
        <f t="shared" si="54"/>
        <v>741.87</v>
      </c>
      <c r="V67" s="105"/>
      <c r="W67" s="108">
        <f t="shared" si="55"/>
        <v>0</v>
      </c>
      <c r="X67" s="108" t="e">
        <f>+ROUND(H67*M67*(VLOOKUP(M67,TABLAS!$B$29:$D$35,3,1)+1.125%),2)</f>
        <v>#N/A</v>
      </c>
      <c r="Y67" s="108">
        <f t="shared" si="56"/>
        <v>0</v>
      </c>
      <c r="Z67" s="108" t="e">
        <f t="shared" si="57"/>
        <v>#N/A</v>
      </c>
      <c r="AA67" s="105"/>
      <c r="AB67" s="108">
        <f t="shared" si="58"/>
        <v>741.87</v>
      </c>
      <c r="AC67" s="108" t="e">
        <f t="shared" si="59"/>
        <v>#N/A</v>
      </c>
      <c r="AD67" s="108">
        <f t="shared" si="60"/>
        <v>0</v>
      </c>
      <c r="AE67" s="108" t="e">
        <f t="shared" si="61"/>
        <v>#N/A</v>
      </c>
      <c r="AF67" s="105"/>
      <c r="AG67" s="108" t="e">
        <f t="shared" si="62"/>
        <v>#N/A</v>
      </c>
      <c r="AH67" s="108" t="e">
        <f t="shared" si="63"/>
        <v>#N/A</v>
      </c>
      <c r="AI67" s="108" t="e">
        <f t="shared" si="64"/>
        <v>#N/A</v>
      </c>
      <c r="AJ67" s="108" t="e">
        <f t="shared" si="65"/>
        <v>#N/A</v>
      </c>
      <c r="AK67" s="108" t="e">
        <f t="shared" si="66"/>
        <v>#N/A</v>
      </c>
      <c r="AL67" s="114" t="e">
        <f t="shared" si="67"/>
        <v>#N/A</v>
      </c>
      <c r="AM67" s="39"/>
    </row>
    <row r="68" spans="1:39" ht="12.75" customHeight="1" x14ac:dyDescent="0.25">
      <c r="A68" s="24">
        <f t="shared" si="21"/>
        <v>61</v>
      </c>
      <c r="B68" s="24"/>
      <c r="C68" s="24"/>
      <c r="D68" s="24"/>
      <c r="E68" s="24"/>
      <c r="F68" s="110" t="str">
        <f>NOMINA!B67</f>
        <v>Empleado 61</v>
      </c>
      <c r="G68" s="111" t="str">
        <f>NOMINA!C67</f>
        <v>Emp 061</v>
      </c>
      <c r="H68" s="112">
        <f t="shared" si="45"/>
        <v>31</v>
      </c>
      <c r="I68" s="109">
        <v>31</v>
      </c>
      <c r="J68" s="109">
        <v>0</v>
      </c>
      <c r="K68" s="109">
        <v>0</v>
      </c>
      <c r="L68" s="113">
        <f>+NOMINA!F67</f>
        <v>0</v>
      </c>
      <c r="M68" s="113">
        <f t="shared" si="46"/>
        <v>0</v>
      </c>
      <c r="N68" s="108">
        <f t="shared" si="47"/>
        <v>741.87</v>
      </c>
      <c r="O68" s="108">
        <f t="shared" si="48"/>
        <v>0</v>
      </c>
      <c r="P68" s="108">
        <f t="shared" si="49"/>
        <v>0</v>
      </c>
      <c r="Q68" s="108">
        <f t="shared" si="50"/>
        <v>0</v>
      </c>
      <c r="R68" s="108">
        <f t="shared" si="51"/>
        <v>0</v>
      </c>
      <c r="S68" s="108">
        <f t="shared" si="52"/>
        <v>0</v>
      </c>
      <c r="T68" s="108">
        <f t="shared" si="53"/>
        <v>0</v>
      </c>
      <c r="U68" s="108">
        <f t="shared" si="54"/>
        <v>741.87</v>
      </c>
      <c r="V68" s="105"/>
      <c r="W68" s="108">
        <f t="shared" si="55"/>
        <v>0</v>
      </c>
      <c r="X68" s="108" t="e">
        <f>+ROUND(H68*M68*(VLOOKUP(M68,TABLAS!$B$29:$D$35,3,1)+1.125%),2)</f>
        <v>#N/A</v>
      </c>
      <c r="Y68" s="108">
        <f t="shared" si="56"/>
        <v>0</v>
      </c>
      <c r="Z68" s="108" t="e">
        <f t="shared" si="57"/>
        <v>#N/A</v>
      </c>
      <c r="AA68" s="105"/>
      <c r="AB68" s="108">
        <f t="shared" si="58"/>
        <v>741.87</v>
      </c>
      <c r="AC68" s="108" t="e">
        <f t="shared" si="59"/>
        <v>#N/A</v>
      </c>
      <c r="AD68" s="108">
        <f t="shared" si="60"/>
        <v>0</v>
      </c>
      <c r="AE68" s="108" t="e">
        <f t="shared" si="61"/>
        <v>#N/A</v>
      </c>
      <c r="AF68" s="105"/>
      <c r="AG68" s="108" t="e">
        <f t="shared" si="62"/>
        <v>#N/A</v>
      </c>
      <c r="AH68" s="108" t="e">
        <f t="shared" si="63"/>
        <v>#N/A</v>
      </c>
      <c r="AI68" s="108" t="e">
        <f t="shared" si="64"/>
        <v>#N/A</v>
      </c>
      <c r="AJ68" s="108" t="e">
        <f t="shared" si="65"/>
        <v>#N/A</v>
      </c>
      <c r="AK68" s="108" t="e">
        <f t="shared" si="66"/>
        <v>#N/A</v>
      </c>
      <c r="AL68" s="114" t="e">
        <f t="shared" si="67"/>
        <v>#N/A</v>
      </c>
      <c r="AM68" s="39"/>
    </row>
    <row r="69" spans="1:39" ht="12.75" customHeight="1" x14ac:dyDescent="0.25">
      <c r="A69" s="24">
        <f t="shared" si="21"/>
        <v>62</v>
      </c>
      <c r="B69" s="24"/>
      <c r="C69" s="24"/>
      <c r="D69" s="24"/>
      <c r="E69" s="24"/>
      <c r="F69" s="110" t="str">
        <f>NOMINA!B68</f>
        <v>Empleado 62</v>
      </c>
      <c r="G69" s="111" t="str">
        <f>NOMINA!C68</f>
        <v>Emp 062</v>
      </c>
      <c r="H69" s="112">
        <f t="shared" si="45"/>
        <v>31</v>
      </c>
      <c r="I69" s="109">
        <v>31</v>
      </c>
      <c r="J69" s="109">
        <v>0</v>
      </c>
      <c r="K69" s="109">
        <v>0</v>
      </c>
      <c r="L69" s="113">
        <f>+NOMINA!F68</f>
        <v>0</v>
      </c>
      <c r="M69" s="113">
        <f t="shared" si="46"/>
        <v>0</v>
      </c>
      <c r="N69" s="108">
        <f t="shared" si="47"/>
        <v>741.87</v>
      </c>
      <c r="O69" s="108">
        <f t="shared" si="48"/>
        <v>0</v>
      </c>
      <c r="P69" s="108">
        <f t="shared" si="49"/>
        <v>0</v>
      </c>
      <c r="Q69" s="108">
        <f t="shared" si="50"/>
        <v>0</v>
      </c>
      <c r="R69" s="108">
        <f t="shared" si="51"/>
        <v>0</v>
      </c>
      <c r="S69" s="108">
        <f t="shared" si="52"/>
        <v>0</v>
      </c>
      <c r="T69" s="108">
        <f t="shared" si="53"/>
        <v>0</v>
      </c>
      <c r="U69" s="108">
        <f t="shared" si="54"/>
        <v>741.87</v>
      </c>
      <c r="V69" s="105"/>
      <c r="W69" s="108">
        <f t="shared" si="55"/>
        <v>0</v>
      </c>
      <c r="X69" s="108" t="e">
        <f>+ROUND(H69*M69*(VLOOKUP(M69,TABLAS!$B$29:$D$35,3,1)+1.125%),2)</f>
        <v>#N/A</v>
      </c>
      <c r="Y69" s="108">
        <f t="shared" si="56"/>
        <v>0</v>
      </c>
      <c r="Z69" s="108" t="e">
        <f t="shared" si="57"/>
        <v>#N/A</v>
      </c>
      <c r="AA69" s="105"/>
      <c r="AB69" s="108">
        <f t="shared" si="58"/>
        <v>741.87</v>
      </c>
      <c r="AC69" s="108" t="e">
        <f t="shared" si="59"/>
        <v>#N/A</v>
      </c>
      <c r="AD69" s="108">
        <f t="shared" si="60"/>
        <v>0</v>
      </c>
      <c r="AE69" s="108" t="e">
        <f t="shared" si="61"/>
        <v>#N/A</v>
      </c>
      <c r="AF69" s="105"/>
      <c r="AG69" s="108" t="e">
        <f t="shared" si="62"/>
        <v>#N/A</v>
      </c>
      <c r="AH69" s="108" t="e">
        <f t="shared" si="63"/>
        <v>#N/A</v>
      </c>
      <c r="AI69" s="108" t="e">
        <f t="shared" si="64"/>
        <v>#N/A</v>
      </c>
      <c r="AJ69" s="108" t="e">
        <f t="shared" si="65"/>
        <v>#N/A</v>
      </c>
      <c r="AK69" s="108" t="e">
        <f t="shared" si="66"/>
        <v>#N/A</v>
      </c>
      <c r="AL69" s="114" t="e">
        <f t="shared" si="67"/>
        <v>#N/A</v>
      </c>
      <c r="AM69" s="39"/>
    </row>
    <row r="70" spans="1:39" ht="12.75" customHeight="1" x14ac:dyDescent="0.25">
      <c r="A70" s="24">
        <f t="shared" si="21"/>
        <v>63</v>
      </c>
      <c r="B70" s="24"/>
      <c r="C70" s="24"/>
      <c r="D70" s="24"/>
      <c r="E70" s="24"/>
      <c r="F70" s="110" t="str">
        <f>NOMINA!B69</f>
        <v>Empleado 63</v>
      </c>
      <c r="G70" s="111" t="str">
        <f>NOMINA!C69</f>
        <v>Emp 063</v>
      </c>
      <c r="H70" s="112">
        <f t="shared" si="45"/>
        <v>31</v>
      </c>
      <c r="I70" s="109">
        <v>31</v>
      </c>
      <c r="J70" s="109">
        <v>0</v>
      </c>
      <c r="K70" s="109">
        <v>0</v>
      </c>
      <c r="L70" s="113">
        <f>+NOMINA!F69</f>
        <v>0</v>
      </c>
      <c r="M70" s="113">
        <f t="shared" si="46"/>
        <v>0</v>
      </c>
      <c r="N70" s="108">
        <f t="shared" si="47"/>
        <v>741.87</v>
      </c>
      <c r="O70" s="108">
        <f t="shared" si="48"/>
        <v>0</v>
      </c>
      <c r="P70" s="108">
        <f t="shared" si="49"/>
        <v>0</v>
      </c>
      <c r="Q70" s="108">
        <f t="shared" si="50"/>
        <v>0</v>
      </c>
      <c r="R70" s="108">
        <f t="shared" si="51"/>
        <v>0</v>
      </c>
      <c r="S70" s="108">
        <f t="shared" si="52"/>
        <v>0</v>
      </c>
      <c r="T70" s="108">
        <f t="shared" si="53"/>
        <v>0</v>
      </c>
      <c r="U70" s="108">
        <f t="shared" si="54"/>
        <v>741.87</v>
      </c>
      <c r="V70" s="105"/>
      <c r="W70" s="108">
        <f t="shared" si="55"/>
        <v>0</v>
      </c>
      <c r="X70" s="108" t="e">
        <f>+ROUND(H70*M70*(VLOOKUP(M70,TABLAS!$B$29:$D$35,3,1)+1.125%),2)</f>
        <v>#N/A</v>
      </c>
      <c r="Y70" s="108">
        <f t="shared" si="56"/>
        <v>0</v>
      </c>
      <c r="Z70" s="108" t="e">
        <f t="shared" si="57"/>
        <v>#N/A</v>
      </c>
      <c r="AA70" s="105"/>
      <c r="AB70" s="108">
        <f t="shared" si="58"/>
        <v>741.87</v>
      </c>
      <c r="AC70" s="108" t="e">
        <f t="shared" si="59"/>
        <v>#N/A</v>
      </c>
      <c r="AD70" s="108">
        <f t="shared" si="60"/>
        <v>0</v>
      </c>
      <c r="AE70" s="108" t="e">
        <f t="shared" si="61"/>
        <v>#N/A</v>
      </c>
      <c r="AF70" s="105"/>
      <c r="AG70" s="108" t="e">
        <f t="shared" si="62"/>
        <v>#N/A</v>
      </c>
      <c r="AH70" s="108" t="e">
        <f t="shared" si="63"/>
        <v>#N/A</v>
      </c>
      <c r="AI70" s="108" t="e">
        <f t="shared" si="64"/>
        <v>#N/A</v>
      </c>
      <c r="AJ70" s="108" t="e">
        <f t="shared" si="65"/>
        <v>#N/A</v>
      </c>
      <c r="AK70" s="108" t="e">
        <f t="shared" si="66"/>
        <v>#N/A</v>
      </c>
      <c r="AL70" s="114" t="e">
        <f t="shared" si="67"/>
        <v>#N/A</v>
      </c>
      <c r="AM70" s="39"/>
    </row>
    <row r="71" spans="1:39" ht="12.75" customHeight="1" x14ac:dyDescent="0.25">
      <c r="A71" s="24">
        <f t="shared" si="21"/>
        <v>64</v>
      </c>
      <c r="B71" s="24"/>
      <c r="C71" s="24"/>
      <c r="D71" s="24"/>
      <c r="E71" s="24"/>
      <c r="F71" s="110" t="str">
        <f>NOMINA!B70</f>
        <v>Empleado 64</v>
      </c>
      <c r="G71" s="111" t="str">
        <f>NOMINA!C70</f>
        <v>Emp 064</v>
      </c>
      <c r="H71" s="112">
        <f t="shared" si="45"/>
        <v>31</v>
      </c>
      <c r="I71" s="109">
        <v>31</v>
      </c>
      <c r="J71" s="109">
        <v>0</v>
      </c>
      <c r="K71" s="109">
        <v>0</v>
      </c>
      <c r="L71" s="113">
        <f>+NOMINA!F70</f>
        <v>0</v>
      </c>
      <c r="M71" s="113">
        <f t="shared" si="46"/>
        <v>0</v>
      </c>
      <c r="N71" s="108">
        <f t="shared" si="47"/>
        <v>741.87</v>
      </c>
      <c r="O71" s="108">
        <f t="shared" si="48"/>
        <v>0</v>
      </c>
      <c r="P71" s="108">
        <f t="shared" si="49"/>
        <v>0</v>
      </c>
      <c r="Q71" s="108">
        <f t="shared" si="50"/>
        <v>0</v>
      </c>
      <c r="R71" s="108">
        <f t="shared" si="51"/>
        <v>0</v>
      </c>
      <c r="S71" s="108">
        <f t="shared" si="52"/>
        <v>0</v>
      </c>
      <c r="T71" s="108">
        <f t="shared" si="53"/>
        <v>0</v>
      </c>
      <c r="U71" s="108">
        <f t="shared" si="54"/>
        <v>741.87</v>
      </c>
      <c r="V71" s="105"/>
      <c r="W71" s="108">
        <f t="shared" si="55"/>
        <v>0</v>
      </c>
      <c r="X71" s="108" t="e">
        <f>+ROUND(H71*M71*(VLOOKUP(M71,TABLAS!$B$29:$D$35,3,1)+1.125%),2)</f>
        <v>#N/A</v>
      </c>
      <c r="Y71" s="108">
        <f t="shared" si="56"/>
        <v>0</v>
      </c>
      <c r="Z71" s="108" t="e">
        <f t="shared" si="57"/>
        <v>#N/A</v>
      </c>
      <c r="AA71" s="105"/>
      <c r="AB71" s="108">
        <f t="shared" si="58"/>
        <v>741.87</v>
      </c>
      <c r="AC71" s="108" t="e">
        <f t="shared" si="59"/>
        <v>#N/A</v>
      </c>
      <c r="AD71" s="108">
        <f t="shared" si="60"/>
        <v>0</v>
      </c>
      <c r="AE71" s="108" t="e">
        <f t="shared" si="61"/>
        <v>#N/A</v>
      </c>
      <c r="AF71" s="105"/>
      <c r="AG71" s="108" t="e">
        <f t="shared" si="62"/>
        <v>#N/A</v>
      </c>
      <c r="AH71" s="108" t="e">
        <f t="shared" si="63"/>
        <v>#N/A</v>
      </c>
      <c r="AI71" s="108" t="e">
        <f t="shared" si="64"/>
        <v>#N/A</v>
      </c>
      <c r="AJ71" s="108" t="e">
        <f t="shared" si="65"/>
        <v>#N/A</v>
      </c>
      <c r="AK71" s="108" t="e">
        <f t="shared" si="66"/>
        <v>#N/A</v>
      </c>
      <c r="AL71" s="114" t="e">
        <f t="shared" si="67"/>
        <v>#N/A</v>
      </c>
      <c r="AM71" s="39"/>
    </row>
    <row r="72" spans="1:39" ht="12.75" customHeight="1" x14ac:dyDescent="0.25">
      <c r="A72" s="24">
        <f t="shared" si="21"/>
        <v>65</v>
      </c>
      <c r="B72" s="24"/>
      <c r="C72" s="24"/>
      <c r="D72" s="24"/>
      <c r="E72" s="24"/>
      <c r="F72" s="110" t="str">
        <f>NOMINA!B71</f>
        <v>Empleado 65</v>
      </c>
      <c r="G72" s="111" t="str">
        <f>NOMINA!C71</f>
        <v>Emp 065</v>
      </c>
      <c r="H72" s="112">
        <f t="shared" si="45"/>
        <v>31</v>
      </c>
      <c r="I72" s="109">
        <v>31</v>
      </c>
      <c r="J72" s="109">
        <v>0</v>
      </c>
      <c r="K72" s="109">
        <v>0</v>
      </c>
      <c r="L72" s="113">
        <f>+NOMINA!F71</f>
        <v>0</v>
      </c>
      <c r="M72" s="113">
        <f t="shared" si="46"/>
        <v>0</v>
      </c>
      <c r="N72" s="108">
        <f t="shared" si="47"/>
        <v>741.87</v>
      </c>
      <c r="O72" s="108">
        <f t="shared" si="48"/>
        <v>0</v>
      </c>
      <c r="P72" s="108">
        <f t="shared" si="49"/>
        <v>0</v>
      </c>
      <c r="Q72" s="108">
        <f t="shared" si="50"/>
        <v>0</v>
      </c>
      <c r="R72" s="108">
        <f t="shared" si="51"/>
        <v>0</v>
      </c>
      <c r="S72" s="108">
        <f t="shared" si="52"/>
        <v>0</v>
      </c>
      <c r="T72" s="108">
        <f t="shared" si="53"/>
        <v>0</v>
      </c>
      <c r="U72" s="108">
        <f t="shared" si="54"/>
        <v>741.87</v>
      </c>
      <c r="V72" s="105"/>
      <c r="W72" s="108">
        <f t="shared" si="55"/>
        <v>0</v>
      </c>
      <c r="X72" s="108" t="e">
        <f>+ROUND(H72*M72*(VLOOKUP(M72,TABLAS!$B$29:$D$35,3,1)+1.125%),2)</f>
        <v>#N/A</v>
      </c>
      <c r="Y72" s="108">
        <f t="shared" si="56"/>
        <v>0</v>
      </c>
      <c r="Z72" s="108" t="e">
        <f t="shared" si="57"/>
        <v>#N/A</v>
      </c>
      <c r="AA72" s="105"/>
      <c r="AB72" s="108">
        <f t="shared" si="58"/>
        <v>741.87</v>
      </c>
      <c r="AC72" s="108" t="e">
        <f t="shared" si="59"/>
        <v>#N/A</v>
      </c>
      <c r="AD72" s="108">
        <f t="shared" si="60"/>
        <v>0</v>
      </c>
      <c r="AE72" s="108" t="e">
        <f t="shared" si="61"/>
        <v>#N/A</v>
      </c>
      <c r="AF72" s="105"/>
      <c r="AG72" s="108" t="e">
        <f t="shared" si="62"/>
        <v>#N/A</v>
      </c>
      <c r="AH72" s="108" t="e">
        <f t="shared" si="63"/>
        <v>#N/A</v>
      </c>
      <c r="AI72" s="108" t="e">
        <f t="shared" si="64"/>
        <v>#N/A</v>
      </c>
      <c r="AJ72" s="108" t="e">
        <f t="shared" si="65"/>
        <v>#N/A</v>
      </c>
      <c r="AK72" s="108" t="e">
        <f t="shared" si="66"/>
        <v>#N/A</v>
      </c>
      <c r="AL72" s="114" t="e">
        <f t="shared" si="67"/>
        <v>#N/A</v>
      </c>
      <c r="AM72" s="39"/>
    </row>
    <row r="73" spans="1:39" ht="12.75" customHeight="1" x14ac:dyDescent="0.25">
      <c r="A73" s="24">
        <f t="shared" ref="A73:A105" si="68">A72+1</f>
        <v>66</v>
      </c>
      <c r="B73" s="24"/>
      <c r="C73" s="24"/>
      <c r="D73" s="24"/>
      <c r="E73" s="24"/>
      <c r="F73" s="110" t="str">
        <f>NOMINA!B72</f>
        <v>Empleado 66</v>
      </c>
      <c r="G73" s="111" t="str">
        <f>NOMINA!C72</f>
        <v>Emp 066</v>
      </c>
      <c r="H73" s="112">
        <f t="shared" si="45"/>
        <v>31</v>
      </c>
      <c r="I73" s="109">
        <v>31</v>
      </c>
      <c r="J73" s="109">
        <v>0</v>
      </c>
      <c r="K73" s="109">
        <v>0</v>
      </c>
      <c r="L73" s="113">
        <f>+NOMINA!F72</f>
        <v>0</v>
      </c>
      <c r="M73" s="113">
        <f t="shared" si="46"/>
        <v>0</v>
      </c>
      <c r="N73" s="108">
        <f t="shared" si="47"/>
        <v>741.87</v>
      </c>
      <c r="O73" s="108">
        <f t="shared" si="48"/>
        <v>0</v>
      </c>
      <c r="P73" s="108">
        <f t="shared" si="49"/>
        <v>0</v>
      </c>
      <c r="Q73" s="108">
        <f t="shared" si="50"/>
        <v>0</v>
      </c>
      <c r="R73" s="108">
        <f t="shared" si="51"/>
        <v>0</v>
      </c>
      <c r="S73" s="108">
        <f t="shared" si="52"/>
        <v>0</v>
      </c>
      <c r="T73" s="108">
        <f t="shared" si="53"/>
        <v>0</v>
      </c>
      <c r="U73" s="108">
        <f t="shared" si="54"/>
        <v>741.87</v>
      </c>
      <c r="V73" s="105"/>
      <c r="W73" s="108">
        <f t="shared" si="55"/>
        <v>0</v>
      </c>
      <c r="X73" s="108" t="e">
        <f>+ROUND(H73*M73*(VLOOKUP(M73,TABLAS!$B$29:$D$35,3,1)+1.125%),2)</f>
        <v>#N/A</v>
      </c>
      <c r="Y73" s="108">
        <f t="shared" si="56"/>
        <v>0</v>
      </c>
      <c r="Z73" s="108" t="e">
        <f t="shared" si="57"/>
        <v>#N/A</v>
      </c>
      <c r="AA73" s="105"/>
      <c r="AB73" s="108">
        <f t="shared" si="58"/>
        <v>741.87</v>
      </c>
      <c r="AC73" s="108" t="e">
        <f t="shared" si="59"/>
        <v>#N/A</v>
      </c>
      <c r="AD73" s="108">
        <f t="shared" si="60"/>
        <v>0</v>
      </c>
      <c r="AE73" s="108" t="e">
        <f t="shared" si="61"/>
        <v>#N/A</v>
      </c>
      <c r="AF73" s="105"/>
      <c r="AG73" s="108" t="e">
        <f t="shared" si="62"/>
        <v>#N/A</v>
      </c>
      <c r="AH73" s="108" t="e">
        <f t="shared" si="63"/>
        <v>#N/A</v>
      </c>
      <c r="AI73" s="108" t="e">
        <f t="shared" si="64"/>
        <v>#N/A</v>
      </c>
      <c r="AJ73" s="108" t="e">
        <f t="shared" si="65"/>
        <v>#N/A</v>
      </c>
      <c r="AK73" s="108" t="e">
        <f t="shared" si="66"/>
        <v>#N/A</v>
      </c>
      <c r="AL73" s="114" t="e">
        <f t="shared" si="67"/>
        <v>#N/A</v>
      </c>
      <c r="AM73" s="39"/>
    </row>
    <row r="74" spans="1:39" ht="12.75" customHeight="1" x14ac:dyDescent="0.25">
      <c r="A74" s="24">
        <f t="shared" si="68"/>
        <v>67</v>
      </c>
      <c r="B74" s="24"/>
      <c r="C74" s="24"/>
      <c r="D74" s="24"/>
      <c r="E74" s="24"/>
      <c r="F74" s="110" t="str">
        <f>NOMINA!B73</f>
        <v>Empleado 67</v>
      </c>
      <c r="G74" s="111" t="str">
        <f>NOMINA!C73</f>
        <v>Emp 067</v>
      </c>
      <c r="H74" s="112">
        <f t="shared" si="45"/>
        <v>31</v>
      </c>
      <c r="I74" s="109">
        <v>31</v>
      </c>
      <c r="J74" s="109">
        <v>0</v>
      </c>
      <c r="K74" s="109">
        <v>0</v>
      </c>
      <c r="L74" s="113">
        <f>+NOMINA!F73</f>
        <v>0</v>
      </c>
      <c r="M74" s="113">
        <f t="shared" si="46"/>
        <v>0</v>
      </c>
      <c r="N74" s="108">
        <f t="shared" si="47"/>
        <v>741.87</v>
      </c>
      <c r="O74" s="108">
        <f t="shared" si="48"/>
        <v>0</v>
      </c>
      <c r="P74" s="108">
        <f t="shared" si="49"/>
        <v>0</v>
      </c>
      <c r="Q74" s="108">
        <f t="shared" si="50"/>
        <v>0</v>
      </c>
      <c r="R74" s="108">
        <f t="shared" si="51"/>
        <v>0</v>
      </c>
      <c r="S74" s="108">
        <f t="shared" si="52"/>
        <v>0</v>
      </c>
      <c r="T74" s="108">
        <f t="shared" si="53"/>
        <v>0</v>
      </c>
      <c r="U74" s="108">
        <f t="shared" si="54"/>
        <v>741.87</v>
      </c>
      <c r="V74" s="105"/>
      <c r="W74" s="108">
        <f t="shared" si="55"/>
        <v>0</v>
      </c>
      <c r="X74" s="108" t="e">
        <f>+ROUND(H74*M74*(VLOOKUP(M74,TABLAS!$B$29:$D$35,3,1)+1.125%),2)</f>
        <v>#N/A</v>
      </c>
      <c r="Y74" s="108">
        <f t="shared" si="56"/>
        <v>0</v>
      </c>
      <c r="Z74" s="108" t="e">
        <f t="shared" si="57"/>
        <v>#N/A</v>
      </c>
      <c r="AA74" s="105"/>
      <c r="AB74" s="108">
        <f t="shared" si="58"/>
        <v>741.87</v>
      </c>
      <c r="AC74" s="108" t="e">
        <f t="shared" si="59"/>
        <v>#N/A</v>
      </c>
      <c r="AD74" s="108">
        <f t="shared" si="60"/>
        <v>0</v>
      </c>
      <c r="AE74" s="108" t="e">
        <f t="shared" si="61"/>
        <v>#N/A</v>
      </c>
      <c r="AF74" s="105"/>
      <c r="AG74" s="108" t="e">
        <f t="shared" si="62"/>
        <v>#N/A</v>
      </c>
      <c r="AH74" s="108" t="e">
        <f t="shared" si="63"/>
        <v>#N/A</v>
      </c>
      <c r="AI74" s="108" t="e">
        <f t="shared" si="64"/>
        <v>#N/A</v>
      </c>
      <c r="AJ74" s="108" t="e">
        <f t="shared" si="65"/>
        <v>#N/A</v>
      </c>
      <c r="AK74" s="108" t="e">
        <f t="shared" si="66"/>
        <v>#N/A</v>
      </c>
      <c r="AL74" s="114" t="e">
        <f t="shared" si="67"/>
        <v>#N/A</v>
      </c>
      <c r="AM74" s="39"/>
    </row>
    <row r="75" spans="1:39" ht="12.75" customHeight="1" x14ac:dyDescent="0.25">
      <c r="A75" s="24">
        <f t="shared" si="68"/>
        <v>68</v>
      </c>
      <c r="B75" s="24"/>
      <c r="C75" s="24"/>
      <c r="D75" s="24"/>
      <c r="E75" s="24"/>
      <c r="F75" s="110" t="str">
        <f>NOMINA!B74</f>
        <v>Empleado 68</v>
      </c>
      <c r="G75" s="111" t="str">
        <f>NOMINA!C74</f>
        <v>Emp 068</v>
      </c>
      <c r="H75" s="112">
        <f t="shared" si="45"/>
        <v>31</v>
      </c>
      <c r="I75" s="109">
        <v>31</v>
      </c>
      <c r="J75" s="109">
        <v>0</v>
      </c>
      <c r="K75" s="109">
        <v>0</v>
      </c>
      <c r="L75" s="113">
        <f>+NOMINA!F74</f>
        <v>0</v>
      </c>
      <c r="M75" s="113">
        <f t="shared" si="46"/>
        <v>0</v>
      </c>
      <c r="N75" s="108">
        <f t="shared" si="47"/>
        <v>741.87</v>
      </c>
      <c r="O75" s="108">
        <f t="shared" si="48"/>
        <v>0</v>
      </c>
      <c r="P75" s="108">
        <f t="shared" si="49"/>
        <v>0</v>
      </c>
      <c r="Q75" s="108">
        <f t="shared" si="50"/>
        <v>0</v>
      </c>
      <c r="R75" s="108">
        <f t="shared" si="51"/>
        <v>0</v>
      </c>
      <c r="S75" s="108">
        <f t="shared" si="52"/>
        <v>0</v>
      </c>
      <c r="T75" s="108">
        <f t="shared" si="53"/>
        <v>0</v>
      </c>
      <c r="U75" s="108">
        <f t="shared" si="54"/>
        <v>741.87</v>
      </c>
      <c r="V75" s="105"/>
      <c r="W75" s="108">
        <f t="shared" si="55"/>
        <v>0</v>
      </c>
      <c r="X75" s="108" t="e">
        <f>+ROUND(H75*M75*(VLOOKUP(M75,TABLAS!$B$29:$D$35,3,1)+1.125%),2)</f>
        <v>#N/A</v>
      </c>
      <c r="Y75" s="108">
        <f t="shared" si="56"/>
        <v>0</v>
      </c>
      <c r="Z75" s="108" t="e">
        <f t="shared" si="57"/>
        <v>#N/A</v>
      </c>
      <c r="AA75" s="105"/>
      <c r="AB75" s="108">
        <f t="shared" si="58"/>
        <v>741.87</v>
      </c>
      <c r="AC75" s="108" t="e">
        <f t="shared" si="59"/>
        <v>#N/A</v>
      </c>
      <c r="AD75" s="108">
        <f t="shared" si="60"/>
        <v>0</v>
      </c>
      <c r="AE75" s="108" t="e">
        <f t="shared" si="61"/>
        <v>#N/A</v>
      </c>
      <c r="AF75" s="105"/>
      <c r="AG75" s="108" t="e">
        <f t="shared" si="62"/>
        <v>#N/A</v>
      </c>
      <c r="AH75" s="108" t="e">
        <f t="shared" si="63"/>
        <v>#N/A</v>
      </c>
      <c r="AI75" s="108" t="e">
        <f t="shared" si="64"/>
        <v>#N/A</v>
      </c>
      <c r="AJ75" s="108" t="e">
        <f t="shared" si="65"/>
        <v>#N/A</v>
      </c>
      <c r="AK75" s="108" t="e">
        <f t="shared" si="66"/>
        <v>#N/A</v>
      </c>
      <c r="AL75" s="114" t="e">
        <f t="shared" si="67"/>
        <v>#N/A</v>
      </c>
      <c r="AM75" s="39"/>
    </row>
    <row r="76" spans="1:39" ht="12.75" customHeight="1" x14ac:dyDescent="0.25">
      <c r="A76" s="24">
        <f t="shared" si="68"/>
        <v>69</v>
      </c>
      <c r="B76" s="24"/>
      <c r="C76" s="24"/>
      <c r="D76" s="24"/>
      <c r="E76" s="24"/>
      <c r="F76" s="110" t="str">
        <f>NOMINA!B75</f>
        <v>Empleado 69</v>
      </c>
      <c r="G76" s="111" t="str">
        <f>NOMINA!C75</f>
        <v>Emp 069</v>
      </c>
      <c r="H76" s="112">
        <f t="shared" si="45"/>
        <v>31</v>
      </c>
      <c r="I76" s="109">
        <v>31</v>
      </c>
      <c r="J76" s="109">
        <v>0</v>
      </c>
      <c r="K76" s="109">
        <v>0</v>
      </c>
      <c r="L76" s="113">
        <f>+NOMINA!F75</f>
        <v>0</v>
      </c>
      <c r="M76" s="113">
        <f t="shared" si="46"/>
        <v>0</v>
      </c>
      <c r="N76" s="108">
        <f t="shared" si="47"/>
        <v>741.87</v>
      </c>
      <c r="O76" s="108">
        <f t="shared" si="48"/>
        <v>0</v>
      </c>
      <c r="P76" s="108">
        <f t="shared" si="49"/>
        <v>0</v>
      </c>
      <c r="Q76" s="108">
        <f t="shared" si="50"/>
        <v>0</v>
      </c>
      <c r="R76" s="108">
        <f t="shared" si="51"/>
        <v>0</v>
      </c>
      <c r="S76" s="108">
        <f t="shared" si="52"/>
        <v>0</v>
      </c>
      <c r="T76" s="108">
        <f t="shared" si="53"/>
        <v>0</v>
      </c>
      <c r="U76" s="108">
        <f t="shared" si="54"/>
        <v>741.87</v>
      </c>
      <c r="V76" s="105"/>
      <c r="W76" s="108">
        <f t="shared" si="55"/>
        <v>0</v>
      </c>
      <c r="X76" s="108" t="e">
        <f>+ROUND(H76*M76*(VLOOKUP(M76,TABLAS!$B$29:$D$35,3,1)+1.125%),2)</f>
        <v>#N/A</v>
      </c>
      <c r="Y76" s="108">
        <f t="shared" si="56"/>
        <v>0</v>
      </c>
      <c r="Z76" s="108" t="e">
        <f t="shared" si="57"/>
        <v>#N/A</v>
      </c>
      <c r="AA76" s="105"/>
      <c r="AB76" s="108">
        <f t="shared" si="58"/>
        <v>741.87</v>
      </c>
      <c r="AC76" s="108" t="e">
        <f t="shared" si="59"/>
        <v>#N/A</v>
      </c>
      <c r="AD76" s="108">
        <f t="shared" si="60"/>
        <v>0</v>
      </c>
      <c r="AE76" s="108" t="e">
        <f t="shared" si="61"/>
        <v>#N/A</v>
      </c>
      <c r="AF76" s="105"/>
      <c r="AG76" s="108" t="e">
        <f t="shared" si="62"/>
        <v>#N/A</v>
      </c>
      <c r="AH76" s="108" t="e">
        <f t="shared" si="63"/>
        <v>#N/A</v>
      </c>
      <c r="AI76" s="108" t="e">
        <f t="shared" si="64"/>
        <v>#N/A</v>
      </c>
      <c r="AJ76" s="108" t="e">
        <f t="shared" si="65"/>
        <v>#N/A</v>
      </c>
      <c r="AK76" s="108" t="e">
        <f t="shared" si="66"/>
        <v>#N/A</v>
      </c>
      <c r="AL76" s="114" t="e">
        <f t="shared" si="67"/>
        <v>#N/A</v>
      </c>
      <c r="AM76" s="39"/>
    </row>
    <row r="77" spans="1:39" ht="12.75" customHeight="1" x14ac:dyDescent="0.25">
      <c r="A77" s="24">
        <f t="shared" si="68"/>
        <v>70</v>
      </c>
      <c r="B77" s="24"/>
      <c r="C77" s="24"/>
      <c r="D77" s="24"/>
      <c r="E77" s="24"/>
      <c r="F77" s="110" t="str">
        <f>NOMINA!B76</f>
        <v>Empleado 70</v>
      </c>
      <c r="G77" s="111" t="str">
        <f>NOMINA!C76</f>
        <v>Emp 070</v>
      </c>
      <c r="H77" s="112">
        <f t="shared" si="45"/>
        <v>31</v>
      </c>
      <c r="I77" s="109">
        <v>31</v>
      </c>
      <c r="J77" s="109">
        <v>0</v>
      </c>
      <c r="K77" s="109">
        <v>0</v>
      </c>
      <c r="L77" s="113">
        <f>+NOMINA!F76</f>
        <v>0</v>
      </c>
      <c r="M77" s="113">
        <f t="shared" si="46"/>
        <v>0</v>
      </c>
      <c r="N77" s="108">
        <f t="shared" si="47"/>
        <v>741.87</v>
      </c>
      <c r="O77" s="108">
        <f t="shared" si="48"/>
        <v>0</v>
      </c>
      <c r="P77" s="108">
        <f t="shared" si="49"/>
        <v>0</v>
      </c>
      <c r="Q77" s="108">
        <f t="shared" si="50"/>
        <v>0</v>
      </c>
      <c r="R77" s="108">
        <f t="shared" si="51"/>
        <v>0</v>
      </c>
      <c r="S77" s="108">
        <f t="shared" si="52"/>
        <v>0</v>
      </c>
      <c r="T77" s="108">
        <f t="shared" si="53"/>
        <v>0</v>
      </c>
      <c r="U77" s="108">
        <f t="shared" si="54"/>
        <v>741.87</v>
      </c>
      <c r="V77" s="105"/>
      <c r="W77" s="108">
        <f t="shared" si="55"/>
        <v>0</v>
      </c>
      <c r="X77" s="108" t="e">
        <f>+ROUND(H77*M77*(VLOOKUP(M77,TABLAS!$B$29:$D$35,3,1)+1.125%),2)</f>
        <v>#N/A</v>
      </c>
      <c r="Y77" s="108">
        <f t="shared" si="56"/>
        <v>0</v>
      </c>
      <c r="Z77" s="108" t="e">
        <f t="shared" si="57"/>
        <v>#N/A</v>
      </c>
      <c r="AA77" s="105"/>
      <c r="AB77" s="108">
        <f t="shared" si="58"/>
        <v>741.87</v>
      </c>
      <c r="AC77" s="108" t="e">
        <f t="shared" si="59"/>
        <v>#N/A</v>
      </c>
      <c r="AD77" s="108">
        <f t="shared" si="60"/>
        <v>0</v>
      </c>
      <c r="AE77" s="108" t="e">
        <f t="shared" si="61"/>
        <v>#N/A</v>
      </c>
      <c r="AF77" s="105"/>
      <c r="AG77" s="108" t="e">
        <f t="shared" si="62"/>
        <v>#N/A</v>
      </c>
      <c r="AH77" s="108" t="e">
        <f t="shared" si="63"/>
        <v>#N/A</v>
      </c>
      <c r="AI77" s="108" t="e">
        <f t="shared" si="64"/>
        <v>#N/A</v>
      </c>
      <c r="AJ77" s="108" t="e">
        <f t="shared" si="65"/>
        <v>#N/A</v>
      </c>
      <c r="AK77" s="108" t="e">
        <f t="shared" si="66"/>
        <v>#N/A</v>
      </c>
      <c r="AL77" s="114" t="e">
        <f t="shared" si="67"/>
        <v>#N/A</v>
      </c>
      <c r="AM77" s="39"/>
    </row>
    <row r="78" spans="1:39" ht="12.75" customHeight="1" x14ac:dyDescent="0.25">
      <c r="A78" s="24">
        <f t="shared" si="68"/>
        <v>71</v>
      </c>
      <c r="B78" s="24"/>
      <c r="C78" s="24"/>
      <c r="D78" s="24"/>
      <c r="E78" s="24"/>
      <c r="F78" s="110" t="str">
        <f>NOMINA!B77</f>
        <v>Empleado 71</v>
      </c>
      <c r="G78" s="111" t="str">
        <f>NOMINA!C77</f>
        <v>Emp 071</v>
      </c>
      <c r="H78" s="112">
        <f t="shared" si="45"/>
        <v>31</v>
      </c>
      <c r="I78" s="109">
        <v>31</v>
      </c>
      <c r="J78" s="109">
        <v>0</v>
      </c>
      <c r="K78" s="109">
        <v>0</v>
      </c>
      <c r="L78" s="113">
        <f>+NOMINA!F77</f>
        <v>0</v>
      </c>
      <c r="M78" s="113">
        <f t="shared" si="46"/>
        <v>0</v>
      </c>
      <c r="N78" s="108">
        <f t="shared" si="47"/>
        <v>741.87</v>
      </c>
      <c r="O78" s="108">
        <f t="shared" si="48"/>
        <v>0</v>
      </c>
      <c r="P78" s="108">
        <f t="shared" si="49"/>
        <v>0</v>
      </c>
      <c r="Q78" s="108">
        <f t="shared" si="50"/>
        <v>0</v>
      </c>
      <c r="R78" s="108">
        <f t="shared" si="51"/>
        <v>0</v>
      </c>
      <c r="S78" s="108">
        <f t="shared" si="52"/>
        <v>0</v>
      </c>
      <c r="T78" s="108">
        <f t="shared" si="53"/>
        <v>0</v>
      </c>
      <c r="U78" s="108">
        <f t="shared" si="54"/>
        <v>741.87</v>
      </c>
      <c r="V78" s="105"/>
      <c r="W78" s="108">
        <f t="shared" si="55"/>
        <v>0</v>
      </c>
      <c r="X78" s="108" t="e">
        <f>+ROUND(H78*M78*(VLOOKUP(M78,TABLAS!$B$29:$D$35,3,1)+1.125%),2)</f>
        <v>#N/A</v>
      </c>
      <c r="Y78" s="108">
        <f t="shared" si="56"/>
        <v>0</v>
      </c>
      <c r="Z78" s="108" t="e">
        <f t="shared" si="57"/>
        <v>#N/A</v>
      </c>
      <c r="AA78" s="105"/>
      <c r="AB78" s="108">
        <f t="shared" si="58"/>
        <v>741.87</v>
      </c>
      <c r="AC78" s="108" t="e">
        <f t="shared" si="59"/>
        <v>#N/A</v>
      </c>
      <c r="AD78" s="108">
        <f t="shared" si="60"/>
        <v>0</v>
      </c>
      <c r="AE78" s="108" t="e">
        <f t="shared" si="61"/>
        <v>#N/A</v>
      </c>
      <c r="AF78" s="105"/>
      <c r="AG78" s="108" t="e">
        <f t="shared" si="62"/>
        <v>#N/A</v>
      </c>
      <c r="AH78" s="108" t="e">
        <f t="shared" si="63"/>
        <v>#N/A</v>
      </c>
      <c r="AI78" s="108" t="e">
        <f t="shared" si="64"/>
        <v>#N/A</v>
      </c>
      <c r="AJ78" s="108" t="e">
        <f t="shared" si="65"/>
        <v>#N/A</v>
      </c>
      <c r="AK78" s="108" t="e">
        <f t="shared" si="66"/>
        <v>#N/A</v>
      </c>
      <c r="AL78" s="114" t="e">
        <f t="shared" si="67"/>
        <v>#N/A</v>
      </c>
      <c r="AM78" s="39"/>
    </row>
    <row r="79" spans="1:39" ht="12.75" customHeight="1" x14ac:dyDescent="0.25">
      <c r="A79" s="24">
        <f t="shared" si="68"/>
        <v>72</v>
      </c>
      <c r="B79" s="24"/>
      <c r="C79" s="24"/>
      <c r="D79" s="24"/>
      <c r="E79" s="24"/>
      <c r="F79" s="110" t="str">
        <f>NOMINA!B78</f>
        <v>Empleado 72</v>
      </c>
      <c r="G79" s="111" t="str">
        <f>NOMINA!C78</f>
        <v>Emp 072</v>
      </c>
      <c r="H79" s="112">
        <f t="shared" si="45"/>
        <v>31</v>
      </c>
      <c r="I79" s="109">
        <v>31</v>
      </c>
      <c r="J79" s="109">
        <v>0</v>
      </c>
      <c r="K79" s="109">
        <v>0</v>
      </c>
      <c r="L79" s="113">
        <f>+NOMINA!F78</f>
        <v>0</v>
      </c>
      <c r="M79" s="113">
        <f t="shared" si="46"/>
        <v>0</v>
      </c>
      <c r="N79" s="108">
        <f t="shared" si="47"/>
        <v>741.87</v>
      </c>
      <c r="O79" s="108">
        <f t="shared" si="48"/>
        <v>0</v>
      </c>
      <c r="P79" s="108">
        <f t="shared" si="49"/>
        <v>0</v>
      </c>
      <c r="Q79" s="108">
        <f t="shared" si="50"/>
        <v>0</v>
      </c>
      <c r="R79" s="108">
        <f t="shared" si="51"/>
        <v>0</v>
      </c>
      <c r="S79" s="108">
        <f t="shared" si="52"/>
        <v>0</v>
      </c>
      <c r="T79" s="108">
        <f t="shared" si="53"/>
        <v>0</v>
      </c>
      <c r="U79" s="108">
        <f t="shared" si="54"/>
        <v>741.87</v>
      </c>
      <c r="V79" s="105"/>
      <c r="W79" s="108">
        <f t="shared" si="55"/>
        <v>0</v>
      </c>
      <c r="X79" s="108" t="e">
        <f>+ROUND(H79*M79*(VLOOKUP(M79,TABLAS!$B$29:$D$35,3,1)+1.125%),2)</f>
        <v>#N/A</v>
      </c>
      <c r="Y79" s="108">
        <f t="shared" si="56"/>
        <v>0</v>
      </c>
      <c r="Z79" s="108" t="e">
        <f t="shared" si="57"/>
        <v>#N/A</v>
      </c>
      <c r="AA79" s="105"/>
      <c r="AB79" s="108">
        <f t="shared" si="58"/>
        <v>741.87</v>
      </c>
      <c r="AC79" s="108" t="e">
        <f t="shared" si="59"/>
        <v>#N/A</v>
      </c>
      <c r="AD79" s="108">
        <f t="shared" si="60"/>
        <v>0</v>
      </c>
      <c r="AE79" s="108" t="e">
        <f t="shared" si="61"/>
        <v>#N/A</v>
      </c>
      <c r="AF79" s="105"/>
      <c r="AG79" s="108" t="e">
        <f t="shared" si="62"/>
        <v>#N/A</v>
      </c>
      <c r="AH79" s="108" t="e">
        <f t="shared" si="63"/>
        <v>#N/A</v>
      </c>
      <c r="AI79" s="108" t="e">
        <f t="shared" si="64"/>
        <v>#N/A</v>
      </c>
      <c r="AJ79" s="108" t="e">
        <f t="shared" si="65"/>
        <v>#N/A</v>
      </c>
      <c r="AK79" s="108" t="e">
        <f t="shared" si="66"/>
        <v>#N/A</v>
      </c>
      <c r="AL79" s="114" t="e">
        <f t="shared" si="67"/>
        <v>#N/A</v>
      </c>
      <c r="AM79" s="39"/>
    </row>
    <row r="80" spans="1:39" ht="12.75" customHeight="1" x14ac:dyDescent="0.25">
      <c r="A80" s="24">
        <f t="shared" si="68"/>
        <v>73</v>
      </c>
      <c r="B80" s="24"/>
      <c r="C80" s="24"/>
      <c r="D80" s="24"/>
      <c r="E80" s="24"/>
      <c r="F80" s="110" t="str">
        <f>NOMINA!B79</f>
        <v>Empleado 73</v>
      </c>
      <c r="G80" s="111" t="str">
        <f>NOMINA!C79</f>
        <v>Emp 073</v>
      </c>
      <c r="H80" s="112">
        <f t="shared" si="45"/>
        <v>31</v>
      </c>
      <c r="I80" s="109">
        <v>31</v>
      </c>
      <c r="J80" s="109">
        <v>0</v>
      </c>
      <c r="K80" s="109">
        <v>0</v>
      </c>
      <c r="L80" s="113">
        <f>+NOMINA!F79</f>
        <v>0</v>
      </c>
      <c r="M80" s="113">
        <f t="shared" si="46"/>
        <v>0</v>
      </c>
      <c r="N80" s="108">
        <f t="shared" si="47"/>
        <v>741.87</v>
      </c>
      <c r="O80" s="108">
        <f t="shared" si="48"/>
        <v>0</v>
      </c>
      <c r="P80" s="108">
        <f t="shared" si="49"/>
        <v>0</v>
      </c>
      <c r="Q80" s="108">
        <f t="shared" si="50"/>
        <v>0</v>
      </c>
      <c r="R80" s="108">
        <f t="shared" si="51"/>
        <v>0</v>
      </c>
      <c r="S80" s="108">
        <f t="shared" si="52"/>
        <v>0</v>
      </c>
      <c r="T80" s="108">
        <f t="shared" si="53"/>
        <v>0</v>
      </c>
      <c r="U80" s="108">
        <f t="shared" si="54"/>
        <v>741.87</v>
      </c>
      <c r="V80" s="105"/>
      <c r="W80" s="108">
        <f t="shared" si="55"/>
        <v>0</v>
      </c>
      <c r="X80" s="108" t="e">
        <f>+ROUND(H80*M80*(VLOOKUP(M80,TABLAS!$B$29:$D$35,3,1)+1.125%),2)</f>
        <v>#N/A</v>
      </c>
      <c r="Y80" s="108">
        <f t="shared" si="56"/>
        <v>0</v>
      </c>
      <c r="Z80" s="108" t="e">
        <f t="shared" si="57"/>
        <v>#N/A</v>
      </c>
      <c r="AA80" s="105"/>
      <c r="AB80" s="108">
        <f t="shared" si="58"/>
        <v>741.87</v>
      </c>
      <c r="AC80" s="108" t="e">
        <f t="shared" si="59"/>
        <v>#N/A</v>
      </c>
      <c r="AD80" s="108">
        <f t="shared" si="60"/>
        <v>0</v>
      </c>
      <c r="AE80" s="108" t="e">
        <f t="shared" si="61"/>
        <v>#N/A</v>
      </c>
      <c r="AF80" s="105"/>
      <c r="AG80" s="108" t="e">
        <f t="shared" si="62"/>
        <v>#N/A</v>
      </c>
      <c r="AH80" s="108" t="e">
        <f t="shared" si="63"/>
        <v>#N/A</v>
      </c>
      <c r="AI80" s="108" t="e">
        <f t="shared" si="64"/>
        <v>#N/A</v>
      </c>
      <c r="AJ80" s="108" t="e">
        <f t="shared" si="65"/>
        <v>#N/A</v>
      </c>
      <c r="AK80" s="108" t="e">
        <f t="shared" si="66"/>
        <v>#N/A</v>
      </c>
      <c r="AL80" s="114" t="e">
        <f t="shared" si="67"/>
        <v>#N/A</v>
      </c>
      <c r="AM80" s="39"/>
    </row>
    <row r="81" spans="1:39" ht="12.75" customHeight="1" x14ac:dyDescent="0.25">
      <c r="A81" s="24">
        <f t="shared" si="68"/>
        <v>74</v>
      </c>
      <c r="B81" s="24"/>
      <c r="C81" s="24"/>
      <c r="D81" s="24"/>
      <c r="E81" s="24"/>
      <c r="F81" s="110" t="str">
        <f>NOMINA!B80</f>
        <v>Empleado 74</v>
      </c>
      <c r="G81" s="111" t="str">
        <f>NOMINA!C80</f>
        <v>Emp 074</v>
      </c>
      <c r="H81" s="112">
        <f t="shared" si="45"/>
        <v>31</v>
      </c>
      <c r="I81" s="109">
        <v>31</v>
      </c>
      <c r="J81" s="109">
        <v>0</v>
      </c>
      <c r="K81" s="109">
        <v>0</v>
      </c>
      <c r="L81" s="113">
        <f>+NOMINA!F80</f>
        <v>0</v>
      </c>
      <c r="M81" s="113">
        <f t="shared" si="46"/>
        <v>0</v>
      </c>
      <c r="N81" s="108">
        <f t="shared" si="47"/>
        <v>741.87</v>
      </c>
      <c r="O81" s="108">
        <f t="shared" si="48"/>
        <v>0</v>
      </c>
      <c r="P81" s="108">
        <f t="shared" si="49"/>
        <v>0</v>
      </c>
      <c r="Q81" s="108">
        <f t="shared" si="50"/>
        <v>0</v>
      </c>
      <c r="R81" s="108">
        <f t="shared" si="51"/>
        <v>0</v>
      </c>
      <c r="S81" s="108">
        <f t="shared" si="52"/>
        <v>0</v>
      </c>
      <c r="T81" s="108">
        <f t="shared" si="53"/>
        <v>0</v>
      </c>
      <c r="U81" s="108">
        <f t="shared" si="54"/>
        <v>741.87</v>
      </c>
      <c r="V81" s="105"/>
      <c r="W81" s="108">
        <f t="shared" si="55"/>
        <v>0</v>
      </c>
      <c r="X81" s="108" t="e">
        <f>+ROUND(H81*M81*(VLOOKUP(M81,TABLAS!$B$29:$D$35,3,1)+1.125%),2)</f>
        <v>#N/A</v>
      </c>
      <c r="Y81" s="108">
        <f t="shared" si="56"/>
        <v>0</v>
      </c>
      <c r="Z81" s="108" t="e">
        <f t="shared" si="57"/>
        <v>#N/A</v>
      </c>
      <c r="AA81" s="105"/>
      <c r="AB81" s="108">
        <f t="shared" si="58"/>
        <v>741.87</v>
      </c>
      <c r="AC81" s="108" t="e">
        <f t="shared" si="59"/>
        <v>#N/A</v>
      </c>
      <c r="AD81" s="108">
        <f t="shared" si="60"/>
        <v>0</v>
      </c>
      <c r="AE81" s="108" t="e">
        <f t="shared" si="61"/>
        <v>#N/A</v>
      </c>
      <c r="AF81" s="105"/>
      <c r="AG81" s="108" t="e">
        <f t="shared" si="62"/>
        <v>#N/A</v>
      </c>
      <c r="AH81" s="108" t="e">
        <f t="shared" si="63"/>
        <v>#N/A</v>
      </c>
      <c r="AI81" s="108" t="e">
        <f t="shared" si="64"/>
        <v>#N/A</v>
      </c>
      <c r="AJ81" s="108" t="e">
        <f t="shared" si="65"/>
        <v>#N/A</v>
      </c>
      <c r="AK81" s="108" t="e">
        <f t="shared" si="66"/>
        <v>#N/A</v>
      </c>
      <c r="AL81" s="114" t="e">
        <f t="shared" si="67"/>
        <v>#N/A</v>
      </c>
      <c r="AM81" s="39"/>
    </row>
    <row r="82" spans="1:39" ht="12.75" customHeight="1" x14ac:dyDescent="0.25">
      <c r="A82" s="24">
        <f t="shared" si="68"/>
        <v>75</v>
      </c>
      <c r="B82" s="24"/>
      <c r="C82" s="24"/>
      <c r="D82" s="24"/>
      <c r="E82" s="24"/>
      <c r="F82" s="110" t="str">
        <f>NOMINA!B81</f>
        <v>Empleado 75</v>
      </c>
      <c r="G82" s="111" t="str">
        <f>NOMINA!C81</f>
        <v>Emp 075</v>
      </c>
      <c r="H82" s="112">
        <f t="shared" si="45"/>
        <v>31</v>
      </c>
      <c r="I82" s="109">
        <v>31</v>
      </c>
      <c r="J82" s="109">
        <v>0</v>
      </c>
      <c r="K82" s="109">
        <v>0</v>
      </c>
      <c r="L82" s="113">
        <f>+NOMINA!F81</f>
        <v>0</v>
      </c>
      <c r="M82" s="113">
        <f t="shared" si="46"/>
        <v>0</v>
      </c>
      <c r="N82" s="108">
        <f t="shared" si="47"/>
        <v>741.87</v>
      </c>
      <c r="O82" s="108">
        <f t="shared" si="48"/>
        <v>0</v>
      </c>
      <c r="P82" s="108">
        <f t="shared" si="49"/>
        <v>0</v>
      </c>
      <c r="Q82" s="108">
        <f t="shared" si="50"/>
        <v>0</v>
      </c>
      <c r="R82" s="108">
        <f t="shared" si="51"/>
        <v>0</v>
      </c>
      <c r="S82" s="108">
        <f t="shared" si="52"/>
        <v>0</v>
      </c>
      <c r="T82" s="108">
        <f t="shared" si="53"/>
        <v>0</v>
      </c>
      <c r="U82" s="108">
        <f t="shared" si="54"/>
        <v>741.87</v>
      </c>
      <c r="V82" s="105"/>
      <c r="W82" s="108">
        <f t="shared" si="55"/>
        <v>0</v>
      </c>
      <c r="X82" s="108" t="e">
        <f>+ROUND(H82*M82*(VLOOKUP(M82,TABLAS!$B$29:$D$35,3,1)+1.125%),2)</f>
        <v>#N/A</v>
      </c>
      <c r="Y82" s="108">
        <f t="shared" si="56"/>
        <v>0</v>
      </c>
      <c r="Z82" s="108" t="e">
        <f t="shared" si="57"/>
        <v>#N/A</v>
      </c>
      <c r="AA82" s="105"/>
      <c r="AB82" s="108">
        <f t="shared" si="58"/>
        <v>741.87</v>
      </c>
      <c r="AC82" s="108" t="e">
        <f t="shared" si="59"/>
        <v>#N/A</v>
      </c>
      <c r="AD82" s="108">
        <f t="shared" si="60"/>
        <v>0</v>
      </c>
      <c r="AE82" s="108" t="e">
        <f t="shared" si="61"/>
        <v>#N/A</v>
      </c>
      <c r="AF82" s="105"/>
      <c r="AG82" s="108" t="e">
        <f t="shared" si="62"/>
        <v>#N/A</v>
      </c>
      <c r="AH82" s="108" t="e">
        <f t="shared" si="63"/>
        <v>#N/A</v>
      </c>
      <c r="AI82" s="108" t="e">
        <f t="shared" si="64"/>
        <v>#N/A</v>
      </c>
      <c r="AJ82" s="108" t="e">
        <f t="shared" si="65"/>
        <v>#N/A</v>
      </c>
      <c r="AK82" s="108" t="e">
        <f t="shared" si="66"/>
        <v>#N/A</v>
      </c>
      <c r="AL82" s="114" t="e">
        <f t="shared" si="67"/>
        <v>#N/A</v>
      </c>
      <c r="AM82" s="39"/>
    </row>
    <row r="83" spans="1:39" ht="12.75" customHeight="1" x14ac:dyDescent="0.25">
      <c r="A83" s="24">
        <f t="shared" si="68"/>
        <v>76</v>
      </c>
      <c r="B83" s="24"/>
      <c r="C83" s="24"/>
      <c r="D83" s="24"/>
      <c r="E83" s="24"/>
      <c r="F83" s="110" t="str">
        <f>NOMINA!B82</f>
        <v>Empleado 76</v>
      </c>
      <c r="G83" s="111" t="str">
        <f>NOMINA!C82</f>
        <v>Emp 076</v>
      </c>
      <c r="H83" s="112">
        <f t="shared" si="45"/>
        <v>31</v>
      </c>
      <c r="I83" s="109">
        <v>31</v>
      </c>
      <c r="J83" s="109">
        <v>0</v>
      </c>
      <c r="K83" s="109">
        <v>0</v>
      </c>
      <c r="L83" s="113">
        <f>+NOMINA!F82</f>
        <v>0</v>
      </c>
      <c r="M83" s="113">
        <f t="shared" si="46"/>
        <v>0</v>
      </c>
      <c r="N83" s="108">
        <f t="shared" si="47"/>
        <v>741.87</v>
      </c>
      <c r="O83" s="108">
        <f t="shared" si="48"/>
        <v>0</v>
      </c>
      <c r="P83" s="108">
        <f t="shared" si="49"/>
        <v>0</v>
      </c>
      <c r="Q83" s="108">
        <f t="shared" si="50"/>
        <v>0</v>
      </c>
      <c r="R83" s="108">
        <f t="shared" si="51"/>
        <v>0</v>
      </c>
      <c r="S83" s="108">
        <f t="shared" si="52"/>
        <v>0</v>
      </c>
      <c r="T83" s="108">
        <f t="shared" si="53"/>
        <v>0</v>
      </c>
      <c r="U83" s="108">
        <f t="shared" si="54"/>
        <v>741.87</v>
      </c>
      <c r="V83" s="105"/>
      <c r="W83" s="108">
        <f t="shared" si="55"/>
        <v>0</v>
      </c>
      <c r="X83" s="108" t="e">
        <f>+ROUND(H83*M83*(VLOOKUP(M83,TABLAS!$B$29:$D$35,3,1)+1.125%),2)</f>
        <v>#N/A</v>
      </c>
      <c r="Y83" s="108">
        <f t="shared" si="56"/>
        <v>0</v>
      </c>
      <c r="Z83" s="108" t="e">
        <f t="shared" si="57"/>
        <v>#N/A</v>
      </c>
      <c r="AA83" s="105"/>
      <c r="AB83" s="108">
        <f t="shared" si="58"/>
        <v>741.87</v>
      </c>
      <c r="AC83" s="108" t="e">
        <f t="shared" si="59"/>
        <v>#N/A</v>
      </c>
      <c r="AD83" s="108">
        <f t="shared" si="60"/>
        <v>0</v>
      </c>
      <c r="AE83" s="108" t="e">
        <f t="shared" si="61"/>
        <v>#N/A</v>
      </c>
      <c r="AF83" s="105"/>
      <c r="AG83" s="108" t="e">
        <f t="shared" si="62"/>
        <v>#N/A</v>
      </c>
      <c r="AH83" s="108" t="e">
        <f t="shared" si="63"/>
        <v>#N/A</v>
      </c>
      <c r="AI83" s="108" t="e">
        <f t="shared" si="64"/>
        <v>#N/A</v>
      </c>
      <c r="AJ83" s="108" t="e">
        <f t="shared" si="65"/>
        <v>#N/A</v>
      </c>
      <c r="AK83" s="108" t="e">
        <f t="shared" si="66"/>
        <v>#N/A</v>
      </c>
      <c r="AL83" s="114" t="e">
        <f t="shared" si="67"/>
        <v>#N/A</v>
      </c>
      <c r="AM83" s="39"/>
    </row>
    <row r="84" spans="1:39" ht="12.75" customHeight="1" x14ac:dyDescent="0.25">
      <c r="A84" s="24">
        <f t="shared" si="68"/>
        <v>77</v>
      </c>
      <c r="B84" s="24"/>
      <c r="C84" s="24"/>
      <c r="D84" s="24"/>
      <c r="E84" s="24"/>
      <c r="F84" s="110" t="str">
        <f>NOMINA!B83</f>
        <v>Empleado 77</v>
      </c>
      <c r="G84" s="111" t="str">
        <f>NOMINA!C83</f>
        <v>Emp 077</v>
      </c>
      <c r="H84" s="112">
        <f t="shared" si="45"/>
        <v>31</v>
      </c>
      <c r="I84" s="109">
        <v>31</v>
      </c>
      <c r="J84" s="109">
        <v>0</v>
      </c>
      <c r="K84" s="109">
        <v>0</v>
      </c>
      <c r="L84" s="113">
        <f>+NOMINA!F83</f>
        <v>0</v>
      </c>
      <c r="M84" s="113">
        <f t="shared" si="46"/>
        <v>0</v>
      </c>
      <c r="N84" s="108">
        <f t="shared" si="47"/>
        <v>741.87</v>
      </c>
      <c r="O84" s="108">
        <f t="shared" si="48"/>
        <v>0</v>
      </c>
      <c r="P84" s="108">
        <f t="shared" si="49"/>
        <v>0</v>
      </c>
      <c r="Q84" s="108">
        <f t="shared" si="50"/>
        <v>0</v>
      </c>
      <c r="R84" s="108">
        <f t="shared" si="51"/>
        <v>0</v>
      </c>
      <c r="S84" s="108">
        <f t="shared" si="52"/>
        <v>0</v>
      </c>
      <c r="T84" s="108">
        <f t="shared" si="53"/>
        <v>0</v>
      </c>
      <c r="U84" s="108">
        <f t="shared" si="54"/>
        <v>741.87</v>
      </c>
      <c r="V84" s="105"/>
      <c r="W84" s="108">
        <f t="shared" si="55"/>
        <v>0</v>
      </c>
      <c r="X84" s="108" t="e">
        <f>+ROUND(H84*M84*(VLOOKUP(M84,TABLAS!$B$29:$D$35,3,1)+1.125%),2)</f>
        <v>#N/A</v>
      </c>
      <c r="Y84" s="108">
        <f t="shared" si="56"/>
        <v>0</v>
      </c>
      <c r="Z84" s="108" t="e">
        <f t="shared" si="57"/>
        <v>#N/A</v>
      </c>
      <c r="AA84" s="105"/>
      <c r="AB84" s="108">
        <f t="shared" si="58"/>
        <v>741.87</v>
      </c>
      <c r="AC84" s="108" t="e">
        <f t="shared" si="59"/>
        <v>#N/A</v>
      </c>
      <c r="AD84" s="108">
        <f t="shared" si="60"/>
        <v>0</v>
      </c>
      <c r="AE84" s="108" t="e">
        <f t="shared" si="61"/>
        <v>#N/A</v>
      </c>
      <c r="AF84" s="105"/>
      <c r="AG84" s="108" t="e">
        <f t="shared" si="62"/>
        <v>#N/A</v>
      </c>
      <c r="AH84" s="108" t="e">
        <f t="shared" si="63"/>
        <v>#N/A</v>
      </c>
      <c r="AI84" s="108" t="e">
        <f t="shared" si="64"/>
        <v>#N/A</v>
      </c>
      <c r="AJ84" s="108" t="e">
        <f t="shared" si="65"/>
        <v>#N/A</v>
      </c>
      <c r="AK84" s="108" t="e">
        <f t="shared" si="66"/>
        <v>#N/A</v>
      </c>
      <c r="AL84" s="114" t="e">
        <f t="shared" si="67"/>
        <v>#N/A</v>
      </c>
      <c r="AM84" s="39"/>
    </row>
    <row r="85" spans="1:39" ht="12.75" customHeight="1" x14ac:dyDescent="0.25">
      <c r="A85" s="24">
        <f t="shared" si="68"/>
        <v>78</v>
      </c>
      <c r="B85" s="24"/>
      <c r="C85" s="24"/>
      <c r="D85" s="24"/>
      <c r="E85" s="24"/>
      <c r="F85" s="110" t="str">
        <f>NOMINA!B84</f>
        <v>Empleado 78</v>
      </c>
      <c r="G85" s="111" t="str">
        <f>NOMINA!C84</f>
        <v>Emp 078</v>
      </c>
      <c r="H85" s="112">
        <f t="shared" si="45"/>
        <v>31</v>
      </c>
      <c r="I85" s="109">
        <v>31</v>
      </c>
      <c r="J85" s="109">
        <v>0</v>
      </c>
      <c r="K85" s="109">
        <v>0</v>
      </c>
      <c r="L85" s="113">
        <f>+NOMINA!F84</f>
        <v>0</v>
      </c>
      <c r="M85" s="113">
        <f t="shared" si="46"/>
        <v>0</v>
      </c>
      <c r="N85" s="108">
        <f t="shared" si="47"/>
        <v>741.87</v>
      </c>
      <c r="O85" s="108">
        <f t="shared" si="48"/>
        <v>0</v>
      </c>
      <c r="P85" s="108">
        <f t="shared" si="49"/>
        <v>0</v>
      </c>
      <c r="Q85" s="108">
        <f t="shared" si="50"/>
        <v>0</v>
      </c>
      <c r="R85" s="108">
        <f t="shared" si="51"/>
        <v>0</v>
      </c>
      <c r="S85" s="108">
        <f t="shared" si="52"/>
        <v>0</v>
      </c>
      <c r="T85" s="108">
        <f t="shared" si="53"/>
        <v>0</v>
      </c>
      <c r="U85" s="108">
        <f t="shared" si="54"/>
        <v>741.87</v>
      </c>
      <c r="V85" s="105"/>
      <c r="W85" s="108">
        <f t="shared" si="55"/>
        <v>0</v>
      </c>
      <c r="X85" s="108" t="e">
        <f>+ROUND(H85*M85*(VLOOKUP(M85,TABLAS!$B$29:$D$35,3,1)+1.125%),2)</f>
        <v>#N/A</v>
      </c>
      <c r="Y85" s="108">
        <f t="shared" si="56"/>
        <v>0</v>
      </c>
      <c r="Z85" s="108" t="e">
        <f t="shared" si="57"/>
        <v>#N/A</v>
      </c>
      <c r="AA85" s="105"/>
      <c r="AB85" s="108">
        <f t="shared" si="58"/>
        <v>741.87</v>
      </c>
      <c r="AC85" s="108" t="e">
        <f t="shared" si="59"/>
        <v>#N/A</v>
      </c>
      <c r="AD85" s="108">
        <f t="shared" si="60"/>
        <v>0</v>
      </c>
      <c r="AE85" s="108" t="e">
        <f t="shared" si="61"/>
        <v>#N/A</v>
      </c>
      <c r="AF85" s="105"/>
      <c r="AG85" s="108" t="e">
        <f t="shared" si="62"/>
        <v>#N/A</v>
      </c>
      <c r="AH85" s="108" t="e">
        <f t="shared" si="63"/>
        <v>#N/A</v>
      </c>
      <c r="AI85" s="108" t="e">
        <f t="shared" si="64"/>
        <v>#N/A</v>
      </c>
      <c r="AJ85" s="108" t="e">
        <f t="shared" si="65"/>
        <v>#N/A</v>
      </c>
      <c r="AK85" s="108" t="e">
        <f t="shared" si="66"/>
        <v>#N/A</v>
      </c>
      <c r="AL85" s="114" t="e">
        <f t="shared" si="67"/>
        <v>#N/A</v>
      </c>
      <c r="AM85" s="39"/>
    </row>
    <row r="86" spans="1:39" ht="12.75" customHeight="1" x14ac:dyDescent="0.25">
      <c r="A86" s="24">
        <f t="shared" si="68"/>
        <v>79</v>
      </c>
      <c r="B86" s="24"/>
      <c r="C86" s="24"/>
      <c r="D86" s="24"/>
      <c r="E86" s="24"/>
      <c r="F86" s="110" t="str">
        <f>NOMINA!B85</f>
        <v>Empleado 79</v>
      </c>
      <c r="G86" s="111" t="str">
        <f>NOMINA!C85</f>
        <v>Emp 079</v>
      </c>
      <c r="H86" s="112">
        <f t="shared" si="45"/>
        <v>31</v>
      </c>
      <c r="I86" s="109">
        <v>31</v>
      </c>
      <c r="J86" s="109">
        <v>0</v>
      </c>
      <c r="K86" s="109">
        <v>0</v>
      </c>
      <c r="L86" s="113">
        <f>+NOMINA!F85</f>
        <v>0</v>
      </c>
      <c r="M86" s="113">
        <f t="shared" si="46"/>
        <v>0</v>
      </c>
      <c r="N86" s="108">
        <f t="shared" si="47"/>
        <v>741.87</v>
      </c>
      <c r="O86" s="108">
        <f t="shared" si="48"/>
        <v>0</v>
      </c>
      <c r="P86" s="108">
        <f t="shared" si="49"/>
        <v>0</v>
      </c>
      <c r="Q86" s="108">
        <f t="shared" si="50"/>
        <v>0</v>
      </c>
      <c r="R86" s="108">
        <f t="shared" si="51"/>
        <v>0</v>
      </c>
      <c r="S86" s="108">
        <f t="shared" si="52"/>
        <v>0</v>
      </c>
      <c r="T86" s="108">
        <f t="shared" si="53"/>
        <v>0</v>
      </c>
      <c r="U86" s="108">
        <f t="shared" si="54"/>
        <v>741.87</v>
      </c>
      <c r="V86" s="105"/>
      <c r="W86" s="108">
        <f t="shared" si="55"/>
        <v>0</v>
      </c>
      <c r="X86" s="108" t="e">
        <f>+ROUND(H86*M86*(VLOOKUP(M86,TABLAS!$B$29:$D$35,3,1)+1.125%),2)</f>
        <v>#N/A</v>
      </c>
      <c r="Y86" s="108">
        <f t="shared" si="56"/>
        <v>0</v>
      </c>
      <c r="Z86" s="108" t="e">
        <f t="shared" si="57"/>
        <v>#N/A</v>
      </c>
      <c r="AA86" s="105"/>
      <c r="AB86" s="108">
        <f t="shared" si="58"/>
        <v>741.87</v>
      </c>
      <c r="AC86" s="108" t="e">
        <f t="shared" si="59"/>
        <v>#N/A</v>
      </c>
      <c r="AD86" s="108">
        <f t="shared" si="60"/>
        <v>0</v>
      </c>
      <c r="AE86" s="108" t="e">
        <f t="shared" si="61"/>
        <v>#N/A</v>
      </c>
      <c r="AF86" s="105"/>
      <c r="AG86" s="108" t="e">
        <f t="shared" si="62"/>
        <v>#N/A</v>
      </c>
      <c r="AH86" s="108" t="e">
        <f t="shared" si="63"/>
        <v>#N/A</v>
      </c>
      <c r="AI86" s="108" t="e">
        <f t="shared" si="64"/>
        <v>#N/A</v>
      </c>
      <c r="AJ86" s="108" t="e">
        <f t="shared" si="65"/>
        <v>#N/A</v>
      </c>
      <c r="AK86" s="108" t="e">
        <f t="shared" si="66"/>
        <v>#N/A</v>
      </c>
      <c r="AL86" s="114" t="e">
        <f t="shared" si="67"/>
        <v>#N/A</v>
      </c>
      <c r="AM86" s="39"/>
    </row>
    <row r="87" spans="1:39" ht="12.75" customHeight="1" x14ac:dyDescent="0.25">
      <c r="A87" s="24">
        <f t="shared" si="68"/>
        <v>80</v>
      </c>
      <c r="B87" s="24"/>
      <c r="C87" s="24"/>
      <c r="D87" s="24"/>
      <c r="E87" s="24"/>
      <c r="F87" s="110" t="str">
        <f>NOMINA!B86</f>
        <v>Empleado 80</v>
      </c>
      <c r="G87" s="111" t="str">
        <f>NOMINA!C86</f>
        <v>Emp 080</v>
      </c>
      <c r="H87" s="112">
        <f t="shared" si="45"/>
        <v>31</v>
      </c>
      <c r="I87" s="109">
        <v>31</v>
      </c>
      <c r="J87" s="109">
        <v>0</v>
      </c>
      <c r="K87" s="109">
        <v>0</v>
      </c>
      <c r="L87" s="113">
        <f>+NOMINA!F86</f>
        <v>0</v>
      </c>
      <c r="M87" s="113">
        <f t="shared" si="46"/>
        <v>0</v>
      </c>
      <c r="N87" s="108">
        <f t="shared" si="47"/>
        <v>741.87</v>
      </c>
      <c r="O87" s="108">
        <f t="shared" si="48"/>
        <v>0</v>
      </c>
      <c r="P87" s="108">
        <f t="shared" si="49"/>
        <v>0</v>
      </c>
      <c r="Q87" s="108">
        <f t="shared" si="50"/>
        <v>0</v>
      </c>
      <c r="R87" s="108">
        <f t="shared" si="51"/>
        <v>0</v>
      </c>
      <c r="S87" s="108">
        <f t="shared" si="52"/>
        <v>0</v>
      </c>
      <c r="T87" s="108">
        <f t="shared" si="53"/>
        <v>0</v>
      </c>
      <c r="U87" s="108">
        <f t="shared" si="54"/>
        <v>741.87</v>
      </c>
      <c r="V87" s="105"/>
      <c r="W87" s="108">
        <f t="shared" si="55"/>
        <v>0</v>
      </c>
      <c r="X87" s="108" t="e">
        <f>+ROUND(H87*M87*(VLOOKUP(M87,TABLAS!$B$29:$D$35,3,1)+1.125%),2)</f>
        <v>#N/A</v>
      </c>
      <c r="Y87" s="108">
        <f t="shared" si="56"/>
        <v>0</v>
      </c>
      <c r="Z87" s="108" t="e">
        <f t="shared" si="57"/>
        <v>#N/A</v>
      </c>
      <c r="AA87" s="105"/>
      <c r="AB87" s="108">
        <f t="shared" si="58"/>
        <v>741.87</v>
      </c>
      <c r="AC87" s="108" t="e">
        <f t="shared" si="59"/>
        <v>#N/A</v>
      </c>
      <c r="AD87" s="108">
        <f t="shared" si="60"/>
        <v>0</v>
      </c>
      <c r="AE87" s="108" t="e">
        <f t="shared" si="61"/>
        <v>#N/A</v>
      </c>
      <c r="AF87" s="105"/>
      <c r="AG87" s="108" t="e">
        <f t="shared" si="62"/>
        <v>#N/A</v>
      </c>
      <c r="AH87" s="108" t="e">
        <f t="shared" si="63"/>
        <v>#N/A</v>
      </c>
      <c r="AI87" s="108" t="e">
        <f t="shared" si="64"/>
        <v>#N/A</v>
      </c>
      <c r="AJ87" s="108" t="e">
        <f t="shared" si="65"/>
        <v>#N/A</v>
      </c>
      <c r="AK87" s="108" t="e">
        <f t="shared" si="66"/>
        <v>#N/A</v>
      </c>
      <c r="AL87" s="114" t="e">
        <f t="shared" si="67"/>
        <v>#N/A</v>
      </c>
      <c r="AM87" s="39"/>
    </row>
    <row r="88" spans="1:39" ht="12.75" customHeight="1" x14ac:dyDescent="0.25">
      <c r="A88" s="24">
        <f t="shared" si="68"/>
        <v>81</v>
      </c>
      <c r="B88" s="24"/>
      <c r="C88" s="24"/>
      <c r="D88" s="24"/>
      <c r="E88" s="24"/>
      <c r="F88" s="110" t="str">
        <f>NOMINA!B87</f>
        <v>Empleado 81</v>
      </c>
      <c r="G88" s="111" t="str">
        <f>NOMINA!C87</f>
        <v>Emp 081</v>
      </c>
      <c r="H88" s="112">
        <f t="shared" ref="H88:H105" si="69">+I88-J88-K88</f>
        <v>31</v>
      </c>
      <c r="I88" s="109">
        <v>31</v>
      </c>
      <c r="J88" s="109">
        <v>0</v>
      </c>
      <c r="K88" s="109">
        <v>0</v>
      </c>
      <c r="L88" s="113">
        <f>+NOMINA!F87</f>
        <v>0</v>
      </c>
      <c r="M88" s="113">
        <f t="shared" ref="M88:M105" si="70">IF(L88*1.0493&gt;$L$2*25,$L$2*25,L88*1.0493)</f>
        <v>0</v>
      </c>
      <c r="N88" s="108">
        <f t="shared" ref="N88:N105" si="71">+ROUND($L$2*$N$6*I88,2)</f>
        <v>741.87</v>
      </c>
      <c r="O88" s="108">
        <f t="shared" ref="O88:O105" si="72">+IF(M88&gt;$M$2,M88-$M$2,0)*$O$6*I88</f>
        <v>0</v>
      </c>
      <c r="P88" s="108">
        <f t="shared" ref="P88:P105" si="73">+ROUND(M88*$P$6*I88,2)</f>
        <v>0</v>
      </c>
      <c r="Q88" s="108">
        <f t="shared" ref="Q88:Q105" si="74">+ROUND(M88*$Q$6*I88,2)</f>
        <v>0</v>
      </c>
      <c r="R88" s="108">
        <f t="shared" ref="R88:R105" si="75">+ROUND(M88*$R$6*I88,2)</f>
        <v>0</v>
      </c>
      <c r="S88" s="108">
        <f t="shared" ref="S88:S105" si="76">+ROUND(M88*$S$6*I88,2)</f>
        <v>0</v>
      </c>
      <c r="T88" s="108">
        <f t="shared" ref="T88:T105" si="77">+ROUND(M88*$T$6*I88,2)</f>
        <v>0</v>
      </c>
      <c r="U88" s="108">
        <f t="shared" ref="U88:U105" si="78">+SUM(N88:T88)</f>
        <v>741.87</v>
      </c>
      <c r="V88" s="105"/>
      <c r="W88" s="108">
        <f t="shared" ref="W88:W105" si="79">+ROUND(I88*M88*$W$6,2)</f>
        <v>0</v>
      </c>
      <c r="X88" s="108" t="e">
        <f>+ROUND(H88*M88*(VLOOKUP(M88,TABLAS!$B$29:$D$35,3,1)+1.125%),2)</f>
        <v>#N/A</v>
      </c>
      <c r="Y88" s="108">
        <f t="shared" ref="Y88:Y105" si="80">+ROUND(H88*M88*$Y$6,2)</f>
        <v>0</v>
      </c>
      <c r="Z88" s="108" t="e">
        <f t="shared" ref="Z88:Z105" si="81">+SUM(W88:Y88)</f>
        <v>#N/A</v>
      </c>
      <c r="AA88" s="105"/>
      <c r="AB88" s="108">
        <f t="shared" ref="AB88:AB105" si="82">+U88</f>
        <v>741.87</v>
      </c>
      <c r="AC88" s="108" t="e">
        <f t="shared" ref="AC88:AC105" si="83">+Z88</f>
        <v>#N/A</v>
      </c>
      <c r="AD88" s="108">
        <f t="shared" ref="AD88:AD105" si="84">+H88*L88*4%</f>
        <v>0</v>
      </c>
      <c r="AE88" s="108" t="e">
        <f t="shared" ref="AE88:AE105" si="85">+SUM(AB88:AD88)</f>
        <v>#N/A</v>
      </c>
      <c r="AF88" s="105"/>
      <c r="AG88" s="108" t="e">
        <f t="shared" ref="AG88:AG105" si="86">+AE88+AJ88</f>
        <v>#N/A</v>
      </c>
      <c r="AH88" s="108" t="e">
        <f t="shared" ref="AH88:AH105" si="87">+AG88*16%</f>
        <v>#N/A</v>
      </c>
      <c r="AI88" s="108" t="e">
        <f t="shared" ref="AI88:AI105" si="88">+AG88+AH88</f>
        <v>#N/A</v>
      </c>
      <c r="AJ88" s="108" t="e">
        <f t="shared" ref="AJ88:AJ105" si="89">+AE88*7.21%</f>
        <v>#N/A</v>
      </c>
      <c r="AK88" s="108" t="e">
        <f t="shared" ref="AK88:AK105" si="90">AL88*31</f>
        <v>#N/A</v>
      </c>
      <c r="AL88" s="114" t="e">
        <f t="shared" ref="AL88:AL105" si="91">AE88/30.4</f>
        <v>#N/A</v>
      </c>
      <c r="AM88" s="39"/>
    </row>
    <row r="89" spans="1:39" ht="12.75" customHeight="1" x14ac:dyDescent="0.25">
      <c r="A89" s="24">
        <f t="shared" si="68"/>
        <v>82</v>
      </c>
      <c r="B89" s="24"/>
      <c r="C89" s="24"/>
      <c r="D89" s="24"/>
      <c r="E89" s="24"/>
      <c r="F89" s="110" t="str">
        <f>NOMINA!B88</f>
        <v>Empleado 82</v>
      </c>
      <c r="G89" s="111" t="str">
        <f>NOMINA!C88</f>
        <v>Emp 082</v>
      </c>
      <c r="H89" s="112">
        <f t="shared" si="69"/>
        <v>31</v>
      </c>
      <c r="I89" s="109">
        <v>31</v>
      </c>
      <c r="J89" s="109">
        <v>0</v>
      </c>
      <c r="K89" s="109">
        <v>0</v>
      </c>
      <c r="L89" s="113">
        <f>+NOMINA!F88</f>
        <v>0</v>
      </c>
      <c r="M89" s="113">
        <f t="shared" si="70"/>
        <v>0</v>
      </c>
      <c r="N89" s="108">
        <f t="shared" si="71"/>
        <v>741.87</v>
      </c>
      <c r="O89" s="108">
        <f t="shared" si="72"/>
        <v>0</v>
      </c>
      <c r="P89" s="108">
        <f t="shared" si="73"/>
        <v>0</v>
      </c>
      <c r="Q89" s="108">
        <f t="shared" si="74"/>
        <v>0</v>
      </c>
      <c r="R89" s="108">
        <f t="shared" si="75"/>
        <v>0</v>
      </c>
      <c r="S89" s="108">
        <f t="shared" si="76"/>
        <v>0</v>
      </c>
      <c r="T89" s="108">
        <f t="shared" si="77"/>
        <v>0</v>
      </c>
      <c r="U89" s="108">
        <f t="shared" si="78"/>
        <v>741.87</v>
      </c>
      <c r="V89" s="105"/>
      <c r="W89" s="108">
        <f t="shared" si="79"/>
        <v>0</v>
      </c>
      <c r="X89" s="108" t="e">
        <f>+ROUND(H89*M89*(VLOOKUP(M89,TABLAS!$B$29:$D$35,3,1)+1.125%),2)</f>
        <v>#N/A</v>
      </c>
      <c r="Y89" s="108">
        <f t="shared" si="80"/>
        <v>0</v>
      </c>
      <c r="Z89" s="108" t="e">
        <f t="shared" si="81"/>
        <v>#N/A</v>
      </c>
      <c r="AA89" s="105"/>
      <c r="AB89" s="108">
        <f t="shared" si="82"/>
        <v>741.87</v>
      </c>
      <c r="AC89" s="108" t="e">
        <f t="shared" si="83"/>
        <v>#N/A</v>
      </c>
      <c r="AD89" s="108">
        <f t="shared" si="84"/>
        <v>0</v>
      </c>
      <c r="AE89" s="108" t="e">
        <f t="shared" si="85"/>
        <v>#N/A</v>
      </c>
      <c r="AF89" s="105"/>
      <c r="AG89" s="108" t="e">
        <f t="shared" si="86"/>
        <v>#N/A</v>
      </c>
      <c r="AH89" s="108" t="e">
        <f t="shared" si="87"/>
        <v>#N/A</v>
      </c>
      <c r="AI89" s="108" t="e">
        <f t="shared" si="88"/>
        <v>#N/A</v>
      </c>
      <c r="AJ89" s="108" t="e">
        <f t="shared" si="89"/>
        <v>#N/A</v>
      </c>
      <c r="AK89" s="108" t="e">
        <f t="shared" si="90"/>
        <v>#N/A</v>
      </c>
      <c r="AL89" s="114" t="e">
        <f t="shared" si="91"/>
        <v>#N/A</v>
      </c>
      <c r="AM89" s="39"/>
    </row>
    <row r="90" spans="1:39" ht="12.75" customHeight="1" x14ac:dyDescent="0.25">
      <c r="A90" s="24">
        <f t="shared" si="68"/>
        <v>83</v>
      </c>
      <c r="B90" s="24"/>
      <c r="C90" s="24"/>
      <c r="D90" s="24"/>
      <c r="E90" s="24"/>
      <c r="F90" s="110" t="str">
        <f>NOMINA!B89</f>
        <v>Empleado 83</v>
      </c>
      <c r="G90" s="111" t="str">
        <f>NOMINA!C89</f>
        <v>Emp 083</v>
      </c>
      <c r="H90" s="112">
        <f t="shared" si="69"/>
        <v>31</v>
      </c>
      <c r="I90" s="109">
        <v>31</v>
      </c>
      <c r="J90" s="109">
        <v>0</v>
      </c>
      <c r="K90" s="109">
        <v>0</v>
      </c>
      <c r="L90" s="113">
        <f>+NOMINA!F89</f>
        <v>0</v>
      </c>
      <c r="M90" s="113">
        <f t="shared" si="70"/>
        <v>0</v>
      </c>
      <c r="N90" s="108">
        <f t="shared" si="71"/>
        <v>741.87</v>
      </c>
      <c r="O90" s="108">
        <f t="shared" si="72"/>
        <v>0</v>
      </c>
      <c r="P90" s="108">
        <f t="shared" si="73"/>
        <v>0</v>
      </c>
      <c r="Q90" s="108">
        <f t="shared" si="74"/>
        <v>0</v>
      </c>
      <c r="R90" s="108">
        <f t="shared" si="75"/>
        <v>0</v>
      </c>
      <c r="S90" s="108">
        <f t="shared" si="76"/>
        <v>0</v>
      </c>
      <c r="T90" s="108">
        <f t="shared" si="77"/>
        <v>0</v>
      </c>
      <c r="U90" s="108">
        <f t="shared" si="78"/>
        <v>741.87</v>
      </c>
      <c r="V90" s="105"/>
      <c r="W90" s="108">
        <f t="shared" si="79"/>
        <v>0</v>
      </c>
      <c r="X90" s="108" t="e">
        <f>+ROUND(H90*M90*(VLOOKUP(M90,TABLAS!$B$29:$D$35,3,1)+1.125%),2)</f>
        <v>#N/A</v>
      </c>
      <c r="Y90" s="108">
        <f t="shared" si="80"/>
        <v>0</v>
      </c>
      <c r="Z90" s="108" t="e">
        <f t="shared" si="81"/>
        <v>#N/A</v>
      </c>
      <c r="AA90" s="105"/>
      <c r="AB90" s="108">
        <f t="shared" si="82"/>
        <v>741.87</v>
      </c>
      <c r="AC90" s="108" t="e">
        <f t="shared" si="83"/>
        <v>#N/A</v>
      </c>
      <c r="AD90" s="108">
        <f t="shared" si="84"/>
        <v>0</v>
      </c>
      <c r="AE90" s="108" t="e">
        <f t="shared" si="85"/>
        <v>#N/A</v>
      </c>
      <c r="AF90" s="105"/>
      <c r="AG90" s="108" t="e">
        <f t="shared" si="86"/>
        <v>#N/A</v>
      </c>
      <c r="AH90" s="108" t="e">
        <f t="shared" si="87"/>
        <v>#N/A</v>
      </c>
      <c r="AI90" s="108" t="e">
        <f t="shared" si="88"/>
        <v>#N/A</v>
      </c>
      <c r="AJ90" s="108" t="e">
        <f t="shared" si="89"/>
        <v>#N/A</v>
      </c>
      <c r="AK90" s="108" t="e">
        <f t="shared" si="90"/>
        <v>#N/A</v>
      </c>
      <c r="AL90" s="114" t="e">
        <f t="shared" si="91"/>
        <v>#N/A</v>
      </c>
      <c r="AM90" s="39"/>
    </row>
    <row r="91" spans="1:39" ht="12.75" customHeight="1" x14ac:dyDescent="0.25">
      <c r="A91" s="24">
        <f t="shared" si="68"/>
        <v>84</v>
      </c>
      <c r="B91" s="24"/>
      <c r="C91" s="24"/>
      <c r="D91" s="24"/>
      <c r="E91" s="24"/>
      <c r="F91" s="110" t="str">
        <f>NOMINA!B90</f>
        <v>Empleado 84</v>
      </c>
      <c r="G91" s="111" t="str">
        <f>NOMINA!C90</f>
        <v>Emp 084</v>
      </c>
      <c r="H91" s="112">
        <f t="shared" si="69"/>
        <v>31</v>
      </c>
      <c r="I91" s="109">
        <v>31</v>
      </c>
      <c r="J91" s="109">
        <v>0</v>
      </c>
      <c r="K91" s="109">
        <v>0</v>
      </c>
      <c r="L91" s="113">
        <f>+NOMINA!F90</f>
        <v>0</v>
      </c>
      <c r="M91" s="113">
        <f t="shared" si="70"/>
        <v>0</v>
      </c>
      <c r="N91" s="108">
        <f t="shared" si="71"/>
        <v>741.87</v>
      </c>
      <c r="O91" s="108">
        <f t="shared" si="72"/>
        <v>0</v>
      </c>
      <c r="P91" s="108">
        <f t="shared" si="73"/>
        <v>0</v>
      </c>
      <c r="Q91" s="108">
        <f t="shared" si="74"/>
        <v>0</v>
      </c>
      <c r="R91" s="108">
        <f t="shared" si="75"/>
        <v>0</v>
      </c>
      <c r="S91" s="108">
        <f t="shared" si="76"/>
        <v>0</v>
      </c>
      <c r="T91" s="108">
        <f t="shared" si="77"/>
        <v>0</v>
      </c>
      <c r="U91" s="108">
        <f t="shared" si="78"/>
        <v>741.87</v>
      </c>
      <c r="V91" s="105"/>
      <c r="W91" s="108">
        <f t="shared" si="79"/>
        <v>0</v>
      </c>
      <c r="X91" s="108" t="e">
        <f>+ROUND(H91*M91*(VLOOKUP(M91,TABLAS!$B$29:$D$35,3,1)+1.125%),2)</f>
        <v>#N/A</v>
      </c>
      <c r="Y91" s="108">
        <f t="shared" si="80"/>
        <v>0</v>
      </c>
      <c r="Z91" s="108" t="e">
        <f t="shared" si="81"/>
        <v>#N/A</v>
      </c>
      <c r="AA91" s="105"/>
      <c r="AB91" s="108">
        <f t="shared" si="82"/>
        <v>741.87</v>
      </c>
      <c r="AC91" s="108" t="e">
        <f t="shared" si="83"/>
        <v>#N/A</v>
      </c>
      <c r="AD91" s="108">
        <f t="shared" si="84"/>
        <v>0</v>
      </c>
      <c r="AE91" s="108" t="e">
        <f t="shared" si="85"/>
        <v>#N/A</v>
      </c>
      <c r="AF91" s="105"/>
      <c r="AG91" s="108" t="e">
        <f t="shared" si="86"/>
        <v>#N/A</v>
      </c>
      <c r="AH91" s="108" t="e">
        <f t="shared" si="87"/>
        <v>#N/A</v>
      </c>
      <c r="AI91" s="108" t="e">
        <f t="shared" si="88"/>
        <v>#N/A</v>
      </c>
      <c r="AJ91" s="108" t="e">
        <f t="shared" si="89"/>
        <v>#N/A</v>
      </c>
      <c r="AK91" s="108" t="e">
        <f t="shared" si="90"/>
        <v>#N/A</v>
      </c>
      <c r="AL91" s="114" t="e">
        <f t="shared" si="91"/>
        <v>#N/A</v>
      </c>
      <c r="AM91" s="39"/>
    </row>
    <row r="92" spans="1:39" ht="12.75" customHeight="1" x14ac:dyDescent="0.25">
      <c r="A92" s="24">
        <f t="shared" si="68"/>
        <v>85</v>
      </c>
      <c r="B92" s="24"/>
      <c r="C92" s="24"/>
      <c r="D92" s="24"/>
      <c r="E92" s="24"/>
      <c r="F92" s="110" t="str">
        <f>NOMINA!B91</f>
        <v>Empleado 85</v>
      </c>
      <c r="G92" s="111" t="str">
        <f>NOMINA!C91</f>
        <v>Emp 085</v>
      </c>
      <c r="H92" s="112">
        <f t="shared" si="69"/>
        <v>31</v>
      </c>
      <c r="I92" s="109">
        <v>31</v>
      </c>
      <c r="J92" s="109">
        <v>0</v>
      </c>
      <c r="K92" s="109">
        <v>0</v>
      </c>
      <c r="L92" s="113">
        <f>+NOMINA!F91</f>
        <v>0</v>
      </c>
      <c r="M92" s="113">
        <f t="shared" si="70"/>
        <v>0</v>
      </c>
      <c r="N92" s="108">
        <f t="shared" si="71"/>
        <v>741.87</v>
      </c>
      <c r="O92" s="108">
        <f t="shared" si="72"/>
        <v>0</v>
      </c>
      <c r="P92" s="108">
        <f t="shared" si="73"/>
        <v>0</v>
      </c>
      <c r="Q92" s="108">
        <f t="shared" si="74"/>
        <v>0</v>
      </c>
      <c r="R92" s="108">
        <f t="shared" si="75"/>
        <v>0</v>
      </c>
      <c r="S92" s="108">
        <f t="shared" si="76"/>
        <v>0</v>
      </c>
      <c r="T92" s="108">
        <f t="shared" si="77"/>
        <v>0</v>
      </c>
      <c r="U92" s="108">
        <f t="shared" si="78"/>
        <v>741.87</v>
      </c>
      <c r="V92" s="105"/>
      <c r="W92" s="108">
        <f t="shared" si="79"/>
        <v>0</v>
      </c>
      <c r="X92" s="108" t="e">
        <f>+ROUND(H92*M92*(VLOOKUP(M92,TABLAS!$B$29:$D$35,3,1)+1.125%),2)</f>
        <v>#N/A</v>
      </c>
      <c r="Y92" s="108">
        <f t="shared" si="80"/>
        <v>0</v>
      </c>
      <c r="Z92" s="108" t="e">
        <f t="shared" si="81"/>
        <v>#N/A</v>
      </c>
      <c r="AA92" s="105"/>
      <c r="AB92" s="108">
        <f t="shared" si="82"/>
        <v>741.87</v>
      </c>
      <c r="AC92" s="108" t="e">
        <f t="shared" si="83"/>
        <v>#N/A</v>
      </c>
      <c r="AD92" s="108">
        <f t="shared" si="84"/>
        <v>0</v>
      </c>
      <c r="AE92" s="108" t="e">
        <f t="shared" si="85"/>
        <v>#N/A</v>
      </c>
      <c r="AF92" s="105"/>
      <c r="AG92" s="108" t="e">
        <f t="shared" si="86"/>
        <v>#N/A</v>
      </c>
      <c r="AH92" s="108" t="e">
        <f t="shared" si="87"/>
        <v>#N/A</v>
      </c>
      <c r="AI92" s="108" t="e">
        <f t="shared" si="88"/>
        <v>#N/A</v>
      </c>
      <c r="AJ92" s="108" t="e">
        <f t="shared" si="89"/>
        <v>#N/A</v>
      </c>
      <c r="AK92" s="108" t="e">
        <f t="shared" si="90"/>
        <v>#N/A</v>
      </c>
      <c r="AL92" s="114" t="e">
        <f t="shared" si="91"/>
        <v>#N/A</v>
      </c>
      <c r="AM92" s="39"/>
    </row>
    <row r="93" spans="1:39" ht="12.75" customHeight="1" x14ac:dyDescent="0.25">
      <c r="A93" s="24">
        <f t="shared" si="68"/>
        <v>86</v>
      </c>
      <c r="B93" s="24"/>
      <c r="C93" s="24"/>
      <c r="D93" s="24"/>
      <c r="E93" s="24"/>
      <c r="F93" s="110" t="str">
        <f>NOMINA!B92</f>
        <v>Empleado 86</v>
      </c>
      <c r="G93" s="111" t="str">
        <f>NOMINA!C92</f>
        <v>Emp 086</v>
      </c>
      <c r="H93" s="112">
        <f t="shared" si="69"/>
        <v>31</v>
      </c>
      <c r="I93" s="109">
        <v>31</v>
      </c>
      <c r="J93" s="109">
        <v>0</v>
      </c>
      <c r="K93" s="109">
        <v>0</v>
      </c>
      <c r="L93" s="113">
        <f>+NOMINA!F92</f>
        <v>0</v>
      </c>
      <c r="M93" s="113">
        <f t="shared" si="70"/>
        <v>0</v>
      </c>
      <c r="N93" s="108">
        <f t="shared" si="71"/>
        <v>741.87</v>
      </c>
      <c r="O93" s="108">
        <f t="shared" si="72"/>
        <v>0</v>
      </c>
      <c r="P93" s="108">
        <f t="shared" si="73"/>
        <v>0</v>
      </c>
      <c r="Q93" s="108">
        <f t="shared" si="74"/>
        <v>0</v>
      </c>
      <c r="R93" s="108">
        <f t="shared" si="75"/>
        <v>0</v>
      </c>
      <c r="S93" s="108">
        <f t="shared" si="76"/>
        <v>0</v>
      </c>
      <c r="T93" s="108">
        <f t="shared" si="77"/>
        <v>0</v>
      </c>
      <c r="U93" s="108">
        <f t="shared" si="78"/>
        <v>741.87</v>
      </c>
      <c r="V93" s="105"/>
      <c r="W93" s="108">
        <f t="shared" si="79"/>
        <v>0</v>
      </c>
      <c r="X93" s="108" t="e">
        <f>+ROUND(H93*M93*(VLOOKUP(M93,TABLAS!$B$29:$D$35,3,1)+1.125%),2)</f>
        <v>#N/A</v>
      </c>
      <c r="Y93" s="108">
        <f t="shared" si="80"/>
        <v>0</v>
      </c>
      <c r="Z93" s="108" t="e">
        <f t="shared" si="81"/>
        <v>#N/A</v>
      </c>
      <c r="AA93" s="105"/>
      <c r="AB93" s="108">
        <f t="shared" si="82"/>
        <v>741.87</v>
      </c>
      <c r="AC93" s="108" t="e">
        <f t="shared" si="83"/>
        <v>#N/A</v>
      </c>
      <c r="AD93" s="108">
        <f t="shared" si="84"/>
        <v>0</v>
      </c>
      <c r="AE93" s="108" t="e">
        <f t="shared" si="85"/>
        <v>#N/A</v>
      </c>
      <c r="AF93" s="105"/>
      <c r="AG93" s="108" t="e">
        <f t="shared" si="86"/>
        <v>#N/A</v>
      </c>
      <c r="AH93" s="108" t="e">
        <f t="shared" si="87"/>
        <v>#N/A</v>
      </c>
      <c r="AI93" s="108" t="e">
        <f t="shared" si="88"/>
        <v>#N/A</v>
      </c>
      <c r="AJ93" s="108" t="e">
        <f t="shared" si="89"/>
        <v>#N/A</v>
      </c>
      <c r="AK93" s="108" t="e">
        <f t="shared" si="90"/>
        <v>#N/A</v>
      </c>
      <c r="AL93" s="114" t="e">
        <f t="shared" si="91"/>
        <v>#N/A</v>
      </c>
      <c r="AM93" s="39"/>
    </row>
    <row r="94" spans="1:39" ht="12.75" customHeight="1" x14ac:dyDescent="0.25">
      <c r="A94" s="24">
        <f t="shared" si="68"/>
        <v>87</v>
      </c>
      <c r="B94" s="24"/>
      <c r="C94" s="24"/>
      <c r="D94" s="24"/>
      <c r="E94" s="24"/>
      <c r="F94" s="110" t="str">
        <f>NOMINA!B93</f>
        <v>Empleado 87</v>
      </c>
      <c r="G94" s="111" t="str">
        <f>NOMINA!C93</f>
        <v>Emp 087</v>
      </c>
      <c r="H94" s="112">
        <f t="shared" si="69"/>
        <v>31</v>
      </c>
      <c r="I94" s="109">
        <v>31</v>
      </c>
      <c r="J94" s="109">
        <v>0</v>
      </c>
      <c r="K94" s="109">
        <v>0</v>
      </c>
      <c r="L94" s="113">
        <f>+NOMINA!F93</f>
        <v>0</v>
      </c>
      <c r="M94" s="113">
        <f t="shared" si="70"/>
        <v>0</v>
      </c>
      <c r="N94" s="108">
        <f t="shared" si="71"/>
        <v>741.87</v>
      </c>
      <c r="O94" s="108">
        <f t="shared" si="72"/>
        <v>0</v>
      </c>
      <c r="P94" s="108">
        <f t="shared" si="73"/>
        <v>0</v>
      </c>
      <c r="Q94" s="108">
        <f t="shared" si="74"/>
        <v>0</v>
      </c>
      <c r="R94" s="108">
        <f t="shared" si="75"/>
        <v>0</v>
      </c>
      <c r="S94" s="108">
        <f t="shared" si="76"/>
        <v>0</v>
      </c>
      <c r="T94" s="108">
        <f t="shared" si="77"/>
        <v>0</v>
      </c>
      <c r="U94" s="108">
        <f t="shared" si="78"/>
        <v>741.87</v>
      </c>
      <c r="V94" s="105"/>
      <c r="W94" s="108">
        <f t="shared" si="79"/>
        <v>0</v>
      </c>
      <c r="X94" s="108" t="e">
        <f>+ROUND(H94*M94*(VLOOKUP(M94,TABLAS!$B$29:$D$35,3,1)+1.125%),2)</f>
        <v>#N/A</v>
      </c>
      <c r="Y94" s="108">
        <f t="shared" si="80"/>
        <v>0</v>
      </c>
      <c r="Z94" s="108" t="e">
        <f t="shared" si="81"/>
        <v>#N/A</v>
      </c>
      <c r="AA94" s="105"/>
      <c r="AB94" s="108">
        <f t="shared" si="82"/>
        <v>741.87</v>
      </c>
      <c r="AC94" s="108" t="e">
        <f t="shared" si="83"/>
        <v>#N/A</v>
      </c>
      <c r="AD94" s="108">
        <f t="shared" si="84"/>
        <v>0</v>
      </c>
      <c r="AE94" s="108" t="e">
        <f t="shared" si="85"/>
        <v>#N/A</v>
      </c>
      <c r="AF94" s="105"/>
      <c r="AG94" s="108" t="e">
        <f t="shared" si="86"/>
        <v>#N/A</v>
      </c>
      <c r="AH94" s="108" t="e">
        <f t="shared" si="87"/>
        <v>#N/A</v>
      </c>
      <c r="AI94" s="108" t="e">
        <f t="shared" si="88"/>
        <v>#N/A</v>
      </c>
      <c r="AJ94" s="108" t="e">
        <f t="shared" si="89"/>
        <v>#N/A</v>
      </c>
      <c r="AK94" s="108" t="e">
        <f t="shared" si="90"/>
        <v>#N/A</v>
      </c>
      <c r="AL94" s="114" t="e">
        <f t="shared" si="91"/>
        <v>#N/A</v>
      </c>
      <c r="AM94" s="39"/>
    </row>
    <row r="95" spans="1:39" ht="12.75" customHeight="1" x14ac:dyDescent="0.25">
      <c r="A95" s="24">
        <f t="shared" si="68"/>
        <v>88</v>
      </c>
      <c r="B95" s="24"/>
      <c r="C95" s="24"/>
      <c r="D95" s="24"/>
      <c r="E95" s="24"/>
      <c r="F95" s="110" t="str">
        <f>NOMINA!B94</f>
        <v>Empleado 88</v>
      </c>
      <c r="G95" s="111" t="str">
        <f>NOMINA!C94</f>
        <v>Emp 088</v>
      </c>
      <c r="H95" s="112">
        <f t="shared" si="69"/>
        <v>31</v>
      </c>
      <c r="I95" s="109">
        <v>31</v>
      </c>
      <c r="J95" s="109">
        <v>0</v>
      </c>
      <c r="K95" s="109">
        <v>0</v>
      </c>
      <c r="L95" s="113">
        <f>+NOMINA!F94</f>
        <v>0</v>
      </c>
      <c r="M95" s="113">
        <f t="shared" si="70"/>
        <v>0</v>
      </c>
      <c r="N95" s="108">
        <f t="shared" si="71"/>
        <v>741.87</v>
      </c>
      <c r="O95" s="108">
        <f t="shared" si="72"/>
        <v>0</v>
      </c>
      <c r="P95" s="108">
        <f t="shared" si="73"/>
        <v>0</v>
      </c>
      <c r="Q95" s="108">
        <f t="shared" si="74"/>
        <v>0</v>
      </c>
      <c r="R95" s="108">
        <f t="shared" si="75"/>
        <v>0</v>
      </c>
      <c r="S95" s="108">
        <f t="shared" si="76"/>
        <v>0</v>
      </c>
      <c r="T95" s="108">
        <f t="shared" si="77"/>
        <v>0</v>
      </c>
      <c r="U95" s="108">
        <f t="shared" si="78"/>
        <v>741.87</v>
      </c>
      <c r="V95" s="105"/>
      <c r="W95" s="108">
        <f t="shared" si="79"/>
        <v>0</v>
      </c>
      <c r="X95" s="108" t="e">
        <f>+ROUND(H95*M95*(VLOOKUP(M95,TABLAS!$B$29:$D$35,3,1)+1.125%),2)</f>
        <v>#N/A</v>
      </c>
      <c r="Y95" s="108">
        <f t="shared" si="80"/>
        <v>0</v>
      </c>
      <c r="Z95" s="108" t="e">
        <f t="shared" si="81"/>
        <v>#N/A</v>
      </c>
      <c r="AA95" s="105"/>
      <c r="AB95" s="108">
        <f t="shared" si="82"/>
        <v>741.87</v>
      </c>
      <c r="AC95" s="108" t="e">
        <f t="shared" si="83"/>
        <v>#N/A</v>
      </c>
      <c r="AD95" s="108">
        <f t="shared" si="84"/>
        <v>0</v>
      </c>
      <c r="AE95" s="108" t="e">
        <f t="shared" si="85"/>
        <v>#N/A</v>
      </c>
      <c r="AF95" s="105"/>
      <c r="AG95" s="108" t="e">
        <f t="shared" si="86"/>
        <v>#N/A</v>
      </c>
      <c r="AH95" s="108" t="e">
        <f t="shared" si="87"/>
        <v>#N/A</v>
      </c>
      <c r="AI95" s="108" t="e">
        <f t="shared" si="88"/>
        <v>#N/A</v>
      </c>
      <c r="AJ95" s="108" t="e">
        <f t="shared" si="89"/>
        <v>#N/A</v>
      </c>
      <c r="AK95" s="108" t="e">
        <f t="shared" si="90"/>
        <v>#N/A</v>
      </c>
      <c r="AL95" s="114" t="e">
        <f t="shared" si="91"/>
        <v>#N/A</v>
      </c>
      <c r="AM95" s="39"/>
    </row>
    <row r="96" spans="1:39" ht="12.75" customHeight="1" x14ac:dyDescent="0.25">
      <c r="A96" s="24">
        <f t="shared" si="68"/>
        <v>89</v>
      </c>
      <c r="B96" s="24"/>
      <c r="C96" s="24"/>
      <c r="D96" s="24"/>
      <c r="E96" s="24"/>
      <c r="F96" s="110" t="str">
        <f>NOMINA!B95</f>
        <v>Empleado 89</v>
      </c>
      <c r="G96" s="111" t="str">
        <f>NOMINA!C95</f>
        <v>Emp 089</v>
      </c>
      <c r="H96" s="112">
        <f t="shared" si="69"/>
        <v>31</v>
      </c>
      <c r="I96" s="109">
        <v>31</v>
      </c>
      <c r="J96" s="109">
        <v>0</v>
      </c>
      <c r="K96" s="109">
        <v>0</v>
      </c>
      <c r="L96" s="113">
        <f>+NOMINA!F95</f>
        <v>0</v>
      </c>
      <c r="M96" s="113">
        <f t="shared" si="70"/>
        <v>0</v>
      </c>
      <c r="N96" s="108">
        <f t="shared" si="71"/>
        <v>741.87</v>
      </c>
      <c r="O96" s="108">
        <f t="shared" si="72"/>
        <v>0</v>
      </c>
      <c r="P96" s="108">
        <f t="shared" si="73"/>
        <v>0</v>
      </c>
      <c r="Q96" s="108">
        <f t="shared" si="74"/>
        <v>0</v>
      </c>
      <c r="R96" s="108">
        <f t="shared" si="75"/>
        <v>0</v>
      </c>
      <c r="S96" s="108">
        <f t="shared" si="76"/>
        <v>0</v>
      </c>
      <c r="T96" s="108">
        <f t="shared" si="77"/>
        <v>0</v>
      </c>
      <c r="U96" s="108">
        <f t="shared" si="78"/>
        <v>741.87</v>
      </c>
      <c r="V96" s="105"/>
      <c r="W96" s="108">
        <f t="shared" si="79"/>
        <v>0</v>
      </c>
      <c r="X96" s="108" t="e">
        <f>+ROUND(H96*M96*(VLOOKUP(M96,TABLAS!$B$29:$D$35,3,1)+1.125%),2)</f>
        <v>#N/A</v>
      </c>
      <c r="Y96" s="108">
        <f t="shared" si="80"/>
        <v>0</v>
      </c>
      <c r="Z96" s="108" t="e">
        <f t="shared" si="81"/>
        <v>#N/A</v>
      </c>
      <c r="AA96" s="105"/>
      <c r="AB96" s="108">
        <f t="shared" si="82"/>
        <v>741.87</v>
      </c>
      <c r="AC96" s="108" t="e">
        <f t="shared" si="83"/>
        <v>#N/A</v>
      </c>
      <c r="AD96" s="108">
        <f t="shared" si="84"/>
        <v>0</v>
      </c>
      <c r="AE96" s="108" t="e">
        <f t="shared" si="85"/>
        <v>#N/A</v>
      </c>
      <c r="AF96" s="105"/>
      <c r="AG96" s="108" t="e">
        <f t="shared" si="86"/>
        <v>#N/A</v>
      </c>
      <c r="AH96" s="108" t="e">
        <f t="shared" si="87"/>
        <v>#N/A</v>
      </c>
      <c r="AI96" s="108" t="e">
        <f t="shared" si="88"/>
        <v>#N/A</v>
      </c>
      <c r="AJ96" s="108" t="e">
        <f t="shared" si="89"/>
        <v>#N/A</v>
      </c>
      <c r="AK96" s="108" t="e">
        <f t="shared" si="90"/>
        <v>#N/A</v>
      </c>
      <c r="AL96" s="114" t="e">
        <f t="shared" si="91"/>
        <v>#N/A</v>
      </c>
      <c r="AM96" s="39"/>
    </row>
    <row r="97" spans="1:39" ht="12.75" customHeight="1" x14ac:dyDescent="0.25">
      <c r="A97" s="24">
        <f t="shared" si="68"/>
        <v>90</v>
      </c>
      <c r="B97" s="24"/>
      <c r="C97" s="24"/>
      <c r="D97" s="24"/>
      <c r="E97" s="24"/>
      <c r="F97" s="110" t="str">
        <f>NOMINA!B96</f>
        <v>Empleado 90</v>
      </c>
      <c r="G97" s="111" t="str">
        <f>NOMINA!C96</f>
        <v>Emp 090</v>
      </c>
      <c r="H97" s="112">
        <f t="shared" si="69"/>
        <v>31</v>
      </c>
      <c r="I97" s="109">
        <v>31</v>
      </c>
      <c r="J97" s="109">
        <v>0</v>
      </c>
      <c r="K97" s="109">
        <v>0</v>
      </c>
      <c r="L97" s="113">
        <f>+NOMINA!F96</f>
        <v>0</v>
      </c>
      <c r="M97" s="113">
        <f t="shared" si="70"/>
        <v>0</v>
      </c>
      <c r="N97" s="108">
        <f t="shared" si="71"/>
        <v>741.87</v>
      </c>
      <c r="O97" s="108">
        <f t="shared" si="72"/>
        <v>0</v>
      </c>
      <c r="P97" s="108">
        <f t="shared" si="73"/>
        <v>0</v>
      </c>
      <c r="Q97" s="108">
        <f t="shared" si="74"/>
        <v>0</v>
      </c>
      <c r="R97" s="108">
        <f t="shared" si="75"/>
        <v>0</v>
      </c>
      <c r="S97" s="108">
        <f t="shared" si="76"/>
        <v>0</v>
      </c>
      <c r="T97" s="108">
        <f t="shared" si="77"/>
        <v>0</v>
      </c>
      <c r="U97" s="108">
        <f t="shared" si="78"/>
        <v>741.87</v>
      </c>
      <c r="V97" s="105"/>
      <c r="W97" s="108">
        <f t="shared" si="79"/>
        <v>0</v>
      </c>
      <c r="X97" s="108" t="e">
        <f>+ROUND(H97*M97*(VLOOKUP(M97,TABLAS!$B$29:$D$35,3,1)+1.125%),2)</f>
        <v>#N/A</v>
      </c>
      <c r="Y97" s="108">
        <f t="shared" si="80"/>
        <v>0</v>
      </c>
      <c r="Z97" s="108" t="e">
        <f t="shared" si="81"/>
        <v>#N/A</v>
      </c>
      <c r="AA97" s="105"/>
      <c r="AB97" s="108">
        <f t="shared" si="82"/>
        <v>741.87</v>
      </c>
      <c r="AC97" s="108" t="e">
        <f t="shared" si="83"/>
        <v>#N/A</v>
      </c>
      <c r="AD97" s="108">
        <f t="shared" si="84"/>
        <v>0</v>
      </c>
      <c r="AE97" s="108" t="e">
        <f t="shared" si="85"/>
        <v>#N/A</v>
      </c>
      <c r="AF97" s="105"/>
      <c r="AG97" s="108" t="e">
        <f t="shared" si="86"/>
        <v>#N/A</v>
      </c>
      <c r="AH97" s="108" t="e">
        <f t="shared" si="87"/>
        <v>#N/A</v>
      </c>
      <c r="AI97" s="108" t="e">
        <f t="shared" si="88"/>
        <v>#N/A</v>
      </c>
      <c r="AJ97" s="108" t="e">
        <f t="shared" si="89"/>
        <v>#N/A</v>
      </c>
      <c r="AK97" s="108" t="e">
        <f t="shared" si="90"/>
        <v>#N/A</v>
      </c>
      <c r="AL97" s="114" t="e">
        <f t="shared" si="91"/>
        <v>#N/A</v>
      </c>
      <c r="AM97" s="39"/>
    </row>
    <row r="98" spans="1:39" ht="12.75" customHeight="1" x14ac:dyDescent="0.25">
      <c r="A98" s="24">
        <f t="shared" si="68"/>
        <v>91</v>
      </c>
      <c r="B98" s="24"/>
      <c r="C98" s="24"/>
      <c r="D98" s="24"/>
      <c r="E98" s="24"/>
      <c r="F98" s="110" t="str">
        <f>NOMINA!B97</f>
        <v>Empleado 91</v>
      </c>
      <c r="G98" s="111" t="str">
        <f>NOMINA!C97</f>
        <v>Emp 091</v>
      </c>
      <c r="H98" s="112">
        <f t="shared" si="69"/>
        <v>31</v>
      </c>
      <c r="I98" s="109">
        <v>31</v>
      </c>
      <c r="J98" s="109">
        <v>0</v>
      </c>
      <c r="K98" s="109">
        <v>0</v>
      </c>
      <c r="L98" s="113">
        <f>+NOMINA!F97</f>
        <v>0</v>
      </c>
      <c r="M98" s="113">
        <f t="shared" si="70"/>
        <v>0</v>
      </c>
      <c r="N98" s="108">
        <f t="shared" si="71"/>
        <v>741.87</v>
      </c>
      <c r="O98" s="108">
        <f t="shared" si="72"/>
        <v>0</v>
      </c>
      <c r="P98" s="108">
        <f t="shared" si="73"/>
        <v>0</v>
      </c>
      <c r="Q98" s="108">
        <f t="shared" si="74"/>
        <v>0</v>
      </c>
      <c r="R98" s="108">
        <f t="shared" si="75"/>
        <v>0</v>
      </c>
      <c r="S98" s="108">
        <f t="shared" si="76"/>
        <v>0</v>
      </c>
      <c r="T98" s="108">
        <f t="shared" si="77"/>
        <v>0</v>
      </c>
      <c r="U98" s="108">
        <f t="shared" si="78"/>
        <v>741.87</v>
      </c>
      <c r="V98" s="105"/>
      <c r="W98" s="108">
        <f t="shared" si="79"/>
        <v>0</v>
      </c>
      <c r="X98" s="108" t="e">
        <f>+ROUND(H98*M98*(VLOOKUP(M98,TABLAS!$B$29:$D$35,3,1)+1.125%),2)</f>
        <v>#N/A</v>
      </c>
      <c r="Y98" s="108">
        <f t="shared" si="80"/>
        <v>0</v>
      </c>
      <c r="Z98" s="108" t="e">
        <f t="shared" si="81"/>
        <v>#N/A</v>
      </c>
      <c r="AA98" s="105"/>
      <c r="AB98" s="108">
        <f t="shared" si="82"/>
        <v>741.87</v>
      </c>
      <c r="AC98" s="108" t="e">
        <f t="shared" si="83"/>
        <v>#N/A</v>
      </c>
      <c r="AD98" s="108">
        <f t="shared" si="84"/>
        <v>0</v>
      </c>
      <c r="AE98" s="108" t="e">
        <f t="shared" si="85"/>
        <v>#N/A</v>
      </c>
      <c r="AF98" s="105"/>
      <c r="AG98" s="108" t="e">
        <f t="shared" si="86"/>
        <v>#N/A</v>
      </c>
      <c r="AH98" s="108" t="e">
        <f t="shared" si="87"/>
        <v>#N/A</v>
      </c>
      <c r="AI98" s="108" t="e">
        <f t="shared" si="88"/>
        <v>#N/A</v>
      </c>
      <c r="AJ98" s="108" t="e">
        <f t="shared" si="89"/>
        <v>#N/A</v>
      </c>
      <c r="AK98" s="108" t="e">
        <f t="shared" si="90"/>
        <v>#N/A</v>
      </c>
      <c r="AL98" s="114" t="e">
        <f t="shared" si="91"/>
        <v>#N/A</v>
      </c>
      <c r="AM98" s="39"/>
    </row>
    <row r="99" spans="1:39" ht="12.75" customHeight="1" x14ac:dyDescent="0.25">
      <c r="A99" s="24">
        <f t="shared" si="68"/>
        <v>92</v>
      </c>
      <c r="B99" s="24"/>
      <c r="C99" s="24"/>
      <c r="D99" s="24"/>
      <c r="E99" s="24"/>
      <c r="F99" s="110" t="str">
        <f>NOMINA!B98</f>
        <v>Empleado 92</v>
      </c>
      <c r="G99" s="111" t="str">
        <f>NOMINA!C98</f>
        <v>Emp 092</v>
      </c>
      <c r="H99" s="112">
        <f t="shared" si="69"/>
        <v>31</v>
      </c>
      <c r="I99" s="109">
        <v>31</v>
      </c>
      <c r="J99" s="109">
        <v>0</v>
      </c>
      <c r="K99" s="109">
        <v>0</v>
      </c>
      <c r="L99" s="113">
        <f>+NOMINA!F98</f>
        <v>0</v>
      </c>
      <c r="M99" s="113">
        <f t="shared" si="70"/>
        <v>0</v>
      </c>
      <c r="N99" s="108">
        <f t="shared" si="71"/>
        <v>741.87</v>
      </c>
      <c r="O99" s="108">
        <f t="shared" si="72"/>
        <v>0</v>
      </c>
      <c r="P99" s="108">
        <f t="shared" si="73"/>
        <v>0</v>
      </c>
      <c r="Q99" s="108">
        <f t="shared" si="74"/>
        <v>0</v>
      </c>
      <c r="R99" s="108">
        <f t="shared" si="75"/>
        <v>0</v>
      </c>
      <c r="S99" s="108">
        <f t="shared" si="76"/>
        <v>0</v>
      </c>
      <c r="T99" s="108">
        <f t="shared" si="77"/>
        <v>0</v>
      </c>
      <c r="U99" s="108">
        <f t="shared" si="78"/>
        <v>741.87</v>
      </c>
      <c r="V99" s="105"/>
      <c r="W99" s="108">
        <f t="shared" si="79"/>
        <v>0</v>
      </c>
      <c r="X99" s="108" t="e">
        <f>+ROUND(H99*M99*(VLOOKUP(M99,TABLAS!$B$29:$D$35,3,1)+1.125%),2)</f>
        <v>#N/A</v>
      </c>
      <c r="Y99" s="108">
        <f t="shared" si="80"/>
        <v>0</v>
      </c>
      <c r="Z99" s="108" t="e">
        <f t="shared" si="81"/>
        <v>#N/A</v>
      </c>
      <c r="AA99" s="105"/>
      <c r="AB99" s="108">
        <f t="shared" si="82"/>
        <v>741.87</v>
      </c>
      <c r="AC99" s="108" t="e">
        <f t="shared" si="83"/>
        <v>#N/A</v>
      </c>
      <c r="AD99" s="108">
        <f t="shared" si="84"/>
        <v>0</v>
      </c>
      <c r="AE99" s="108" t="e">
        <f t="shared" si="85"/>
        <v>#N/A</v>
      </c>
      <c r="AF99" s="105"/>
      <c r="AG99" s="108" t="e">
        <f t="shared" si="86"/>
        <v>#N/A</v>
      </c>
      <c r="AH99" s="108" t="e">
        <f t="shared" si="87"/>
        <v>#N/A</v>
      </c>
      <c r="AI99" s="108" t="e">
        <f t="shared" si="88"/>
        <v>#N/A</v>
      </c>
      <c r="AJ99" s="108" t="e">
        <f t="shared" si="89"/>
        <v>#N/A</v>
      </c>
      <c r="AK99" s="108" t="e">
        <f t="shared" si="90"/>
        <v>#N/A</v>
      </c>
      <c r="AL99" s="114" t="e">
        <f t="shared" si="91"/>
        <v>#N/A</v>
      </c>
      <c r="AM99" s="39"/>
    </row>
    <row r="100" spans="1:39" ht="12.75" customHeight="1" x14ac:dyDescent="0.25">
      <c r="A100" s="24">
        <f t="shared" si="68"/>
        <v>93</v>
      </c>
      <c r="B100" s="24"/>
      <c r="C100" s="24"/>
      <c r="D100" s="24"/>
      <c r="E100" s="24"/>
      <c r="F100" s="110" t="str">
        <f>NOMINA!B99</f>
        <v>Empleado 93</v>
      </c>
      <c r="G100" s="111" t="str">
        <f>NOMINA!C99</f>
        <v>Emp 093</v>
      </c>
      <c r="H100" s="112">
        <f t="shared" si="69"/>
        <v>31</v>
      </c>
      <c r="I100" s="109">
        <v>31</v>
      </c>
      <c r="J100" s="109">
        <v>0</v>
      </c>
      <c r="K100" s="109">
        <v>0</v>
      </c>
      <c r="L100" s="113">
        <f>+NOMINA!F99</f>
        <v>0</v>
      </c>
      <c r="M100" s="113">
        <f t="shared" si="70"/>
        <v>0</v>
      </c>
      <c r="N100" s="108">
        <f t="shared" si="71"/>
        <v>741.87</v>
      </c>
      <c r="O100" s="108">
        <f t="shared" si="72"/>
        <v>0</v>
      </c>
      <c r="P100" s="108">
        <f t="shared" si="73"/>
        <v>0</v>
      </c>
      <c r="Q100" s="108">
        <f t="shared" si="74"/>
        <v>0</v>
      </c>
      <c r="R100" s="108">
        <f t="shared" si="75"/>
        <v>0</v>
      </c>
      <c r="S100" s="108">
        <f t="shared" si="76"/>
        <v>0</v>
      </c>
      <c r="T100" s="108">
        <f t="shared" si="77"/>
        <v>0</v>
      </c>
      <c r="U100" s="108">
        <f t="shared" si="78"/>
        <v>741.87</v>
      </c>
      <c r="V100" s="105"/>
      <c r="W100" s="108">
        <f t="shared" si="79"/>
        <v>0</v>
      </c>
      <c r="X100" s="108" t="e">
        <f>+ROUND(H100*M100*(VLOOKUP(M100,TABLAS!$B$29:$D$35,3,1)+1.125%),2)</f>
        <v>#N/A</v>
      </c>
      <c r="Y100" s="108">
        <f t="shared" si="80"/>
        <v>0</v>
      </c>
      <c r="Z100" s="108" t="e">
        <f t="shared" si="81"/>
        <v>#N/A</v>
      </c>
      <c r="AA100" s="105"/>
      <c r="AB100" s="108">
        <f t="shared" si="82"/>
        <v>741.87</v>
      </c>
      <c r="AC100" s="108" t="e">
        <f t="shared" si="83"/>
        <v>#N/A</v>
      </c>
      <c r="AD100" s="108">
        <f t="shared" si="84"/>
        <v>0</v>
      </c>
      <c r="AE100" s="108" t="e">
        <f t="shared" si="85"/>
        <v>#N/A</v>
      </c>
      <c r="AF100" s="105"/>
      <c r="AG100" s="108" t="e">
        <f t="shared" si="86"/>
        <v>#N/A</v>
      </c>
      <c r="AH100" s="108" t="e">
        <f t="shared" si="87"/>
        <v>#N/A</v>
      </c>
      <c r="AI100" s="108" t="e">
        <f t="shared" si="88"/>
        <v>#N/A</v>
      </c>
      <c r="AJ100" s="108" t="e">
        <f t="shared" si="89"/>
        <v>#N/A</v>
      </c>
      <c r="AK100" s="108" t="e">
        <f t="shared" si="90"/>
        <v>#N/A</v>
      </c>
      <c r="AL100" s="114" t="e">
        <f t="shared" si="91"/>
        <v>#N/A</v>
      </c>
      <c r="AM100" s="39"/>
    </row>
    <row r="101" spans="1:39" ht="12.75" customHeight="1" x14ac:dyDescent="0.25">
      <c r="A101" s="24">
        <f t="shared" si="68"/>
        <v>94</v>
      </c>
      <c r="B101" s="24"/>
      <c r="C101" s="24"/>
      <c r="D101" s="24"/>
      <c r="E101" s="24"/>
      <c r="F101" s="110" t="str">
        <f>NOMINA!B100</f>
        <v>Empleado 94</v>
      </c>
      <c r="G101" s="111" t="str">
        <f>NOMINA!C100</f>
        <v>Emp 094</v>
      </c>
      <c r="H101" s="112">
        <f t="shared" si="69"/>
        <v>31</v>
      </c>
      <c r="I101" s="109">
        <v>31</v>
      </c>
      <c r="J101" s="109">
        <v>0</v>
      </c>
      <c r="K101" s="109">
        <v>0</v>
      </c>
      <c r="L101" s="113">
        <f>+NOMINA!F100</f>
        <v>0</v>
      </c>
      <c r="M101" s="113">
        <f t="shared" si="70"/>
        <v>0</v>
      </c>
      <c r="N101" s="108">
        <f t="shared" si="71"/>
        <v>741.87</v>
      </c>
      <c r="O101" s="108">
        <f t="shared" si="72"/>
        <v>0</v>
      </c>
      <c r="P101" s="108">
        <f t="shared" si="73"/>
        <v>0</v>
      </c>
      <c r="Q101" s="108">
        <f t="shared" si="74"/>
        <v>0</v>
      </c>
      <c r="R101" s="108">
        <f t="shared" si="75"/>
        <v>0</v>
      </c>
      <c r="S101" s="108">
        <f t="shared" si="76"/>
        <v>0</v>
      </c>
      <c r="T101" s="108">
        <f t="shared" si="77"/>
        <v>0</v>
      </c>
      <c r="U101" s="108">
        <f t="shared" si="78"/>
        <v>741.87</v>
      </c>
      <c r="V101" s="105"/>
      <c r="W101" s="108">
        <f t="shared" si="79"/>
        <v>0</v>
      </c>
      <c r="X101" s="108" t="e">
        <f>+ROUND(H101*M101*(VLOOKUP(M101,TABLAS!$B$29:$D$35,3,1)+1.125%),2)</f>
        <v>#N/A</v>
      </c>
      <c r="Y101" s="108">
        <f t="shared" si="80"/>
        <v>0</v>
      </c>
      <c r="Z101" s="108" t="e">
        <f t="shared" si="81"/>
        <v>#N/A</v>
      </c>
      <c r="AA101" s="105"/>
      <c r="AB101" s="108">
        <f t="shared" si="82"/>
        <v>741.87</v>
      </c>
      <c r="AC101" s="108" t="e">
        <f t="shared" si="83"/>
        <v>#N/A</v>
      </c>
      <c r="AD101" s="108">
        <f t="shared" si="84"/>
        <v>0</v>
      </c>
      <c r="AE101" s="108" t="e">
        <f t="shared" si="85"/>
        <v>#N/A</v>
      </c>
      <c r="AF101" s="105"/>
      <c r="AG101" s="108" t="e">
        <f t="shared" si="86"/>
        <v>#N/A</v>
      </c>
      <c r="AH101" s="108" t="e">
        <f t="shared" si="87"/>
        <v>#N/A</v>
      </c>
      <c r="AI101" s="108" t="e">
        <f t="shared" si="88"/>
        <v>#N/A</v>
      </c>
      <c r="AJ101" s="108" t="e">
        <f t="shared" si="89"/>
        <v>#N/A</v>
      </c>
      <c r="AK101" s="108" t="e">
        <f t="shared" si="90"/>
        <v>#N/A</v>
      </c>
      <c r="AL101" s="114" t="e">
        <f t="shared" si="91"/>
        <v>#N/A</v>
      </c>
      <c r="AM101" s="39"/>
    </row>
    <row r="102" spans="1:39" ht="12.75" customHeight="1" x14ac:dyDescent="0.25">
      <c r="A102" s="24">
        <f t="shared" si="68"/>
        <v>95</v>
      </c>
      <c r="B102" s="24"/>
      <c r="C102" s="24"/>
      <c r="D102" s="24"/>
      <c r="E102" s="24"/>
      <c r="F102" s="110" t="str">
        <f>NOMINA!B101</f>
        <v>Empleado 95</v>
      </c>
      <c r="G102" s="111" t="str">
        <f>NOMINA!C101</f>
        <v>Emp 095</v>
      </c>
      <c r="H102" s="112">
        <f t="shared" si="69"/>
        <v>31</v>
      </c>
      <c r="I102" s="109">
        <v>31</v>
      </c>
      <c r="J102" s="109">
        <v>0</v>
      </c>
      <c r="K102" s="109">
        <v>0</v>
      </c>
      <c r="L102" s="113">
        <f>+NOMINA!F101</f>
        <v>0</v>
      </c>
      <c r="M102" s="113">
        <f t="shared" si="70"/>
        <v>0</v>
      </c>
      <c r="N102" s="108">
        <f t="shared" si="71"/>
        <v>741.87</v>
      </c>
      <c r="O102" s="108">
        <f t="shared" si="72"/>
        <v>0</v>
      </c>
      <c r="P102" s="108">
        <f t="shared" si="73"/>
        <v>0</v>
      </c>
      <c r="Q102" s="108">
        <f t="shared" si="74"/>
        <v>0</v>
      </c>
      <c r="R102" s="108">
        <f t="shared" si="75"/>
        <v>0</v>
      </c>
      <c r="S102" s="108">
        <f t="shared" si="76"/>
        <v>0</v>
      </c>
      <c r="T102" s="108">
        <f t="shared" si="77"/>
        <v>0</v>
      </c>
      <c r="U102" s="108">
        <f t="shared" si="78"/>
        <v>741.87</v>
      </c>
      <c r="V102" s="105"/>
      <c r="W102" s="108">
        <f t="shared" si="79"/>
        <v>0</v>
      </c>
      <c r="X102" s="108" t="e">
        <f>+ROUND(H102*M102*(VLOOKUP(M102,TABLAS!$B$29:$D$35,3,1)+1.125%),2)</f>
        <v>#N/A</v>
      </c>
      <c r="Y102" s="108">
        <f t="shared" si="80"/>
        <v>0</v>
      </c>
      <c r="Z102" s="108" t="e">
        <f t="shared" si="81"/>
        <v>#N/A</v>
      </c>
      <c r="AA102" s="105"/>
      <c r="AB102" s="108">
        <f t="shared" si="82"/>
        <v>741.87</v>
      </c>
      <c r="AC102" s="108" t="e">
        <f t="shared" si="83"/>
        <v>#N/A</v>
      </c>
      <c r="AD102" s="108">
        <f t="shared" si="84"/>
        <v>0</v>
      </c>
      <c r="AE102" s="108" t="e">
        <f t="shared" si="85"/>
        <v>#N/A</v>
      </c>
      <c r="AF102" s="105"/>
      <c r="AG102" s="108" t="e">
        <f t="shared" si="86"/>
        <v>#N/A</v>
      </c>
      <c r="AH102" s="108" t="e">
        <f t="shared" si="87"/>
        <v>#N/A</v>
      </c>
      <c r="AI102" s="108" t="e">
        <f t="shared" si="88"/>
        <v>#N/A</v>
      </c>
      <c r="AJ102" s="108" t="e">
        <f t="shared" si="89"/>
        <v>#N/A</v>
      </c>
      <c r="AK102" s="108" t="e">
        <f t="shared" si="90"/>
        <v>#N/A</v>
      </c>
      <c r="AL102" s="114" t="e">
        <f t="shared" si="91"/>
        <v>#N/A</v>
      </c>
      <c r="AM102" s="39"/>
    </row>
    <row r="103" spans="1:39" ht="12.75" customHeight="1" x14ac:dyDescent="0.25">
      <c r="A103" s="24">
        <f t="shared" si="68"/>
        <v>96</v>
      </c>
      <c r="B103" s="24"/>
      <c r="C103" s="24"/>
      <c r="D103" s="24"/>
      <c r="E103" s="24"/>
      <c r="F103" s="110" t="str">
        <f>NOMINA!B102</f>
        <v>Empleado 96</v>
      </c>
      <c r="G103" s="111" t="str">
        <f>NOMINA!C102</f>
        <v>Emp 096</v>
      </c>
      <c r="H103" s="112">
        <f t="shared" si="69"/>
        <v>31</v>
      </c>
      <c r="I103" s="109">
        <v>31</v>
      </c>
      <c r="J103" s="109">
        <v>0</v>
      </c>
      <c r="K103" s="109">
        <v>0</v>
      </c>
      <c r="L103" s="113">
        <f>+NOMINA!F102</f>
        <v>0</v>
      </c>
      <c r="M103" s="113">
        <f t="shared" si="70"/>
        <v>0</v>
      </c>
      <c r="N103" s="108">
        <f t="shared" si="71"/>
        <v>741.87</v>
      </c>
      <c r="O103" s="108">
        <f t="shared" si="72"/>
        <v>0</v>
      </c>
      <c r="P103" s="108">
        <f t="shared" si="73"/>
        <v>0</v>
      </c>
      <c r="Q103" s="108">
        <f t="shared" si="74"/>
        <v>0</v>
      </c>
      <c r="R103" s="108">
        <f t="shared" si="75"/>
        <v>0</v>
      </c>
      <c r="S103" s="108">
        <f t="shared" si="76"/>
        <v>0</v>
      </c>
      <c r="T103" s="108">
        <f t="shared" si="77"/>
        <v>0</v>
      </c>
      <c r="U103" s="108">
        <f t="shared" si="78"/>
        <v>741.87</v>
      </c>
      <c r="V103" s="105"/>
      <c r="W103" s="108">
        <f t="shared" si="79"/>
        <v>0</v>
      </c>
      <c r="X103" s="108" t="e">
        <f>+ROUND(H103*M103*(VLOOKUP(M103,TABLAS!$B$29:$D$35,3,1)+1.125%),2)</f>
        <v>#N/A</v>
      </c>
      <c r="Y103" s="108">
        <f t="shared" si="80"/>
        <v>0</v>
      </c>
      <c r="Z103" s="108" t="e">
        <f t="shared" si="81"/>
        <v>#N/A</v>
      </c>
      <c r="AA103" s="105"/>
      <c r="AB103" s="108">
        <f t="shared" si="82"/>
        <v>741.87</v>
      </c>
      <c r="AC103" s="108" t="e">
        <f t="shared" si="83"/>
        <v>#N/A</v>
      </c>
      <c r="AD103" s="108">
        <f t="shared" si="84"/>
        <v>0</v>
      </c>
      <c r="AE103" s="108" t="e">
        <f t="shared" si="85"/>
        <v>#N/A</v>
      </c>
      <c r="AF103" s="105"/>
      <c r="AG103" s="108" t="e">
        <f t="shared" si="86"/>
        <v>#N/A</v>
      </c>
      <c r="AH103" s="108" t="e">
        <f t="shared" si="87"/>
        <v>#N/A</v>
      </c>
      <c r="AI103" s="108" t="e">
        <f t="shared" si="88"/>
        <v>#N/A</v>
      </c>
      <c r="AJ103" s="108" t="e">
        <f t="shared" si="89"/>
        <v>#N/A</v>
      </c>
      <c r="AK103" s="108" t="e">
        <f t="shared" si="90"/>
        <v>#N/A</v>
      </c>
      <c r="AL103" s="114" t="e">
        <f t="shared" si="91"/>
        <v>#N/A</v>
      </c>
      <c r="AM103" s="39"/>
    </row>
    <row r="104" spans="1:39" ht="12.75" customHeight="1" x14ac:dyDescent="0.25">
      <c r="A104" s="24">
        <f t="shared" si="68"/>
        <v>97</v>
      </c>
      <c r="B104" s="24"/>
      <c r="C104" s="24"/>
      <c r="D104" s="24"/>
      <c r="E104" s="24"/>
      <c r="F104" s="110" t="str">
        <f>NOMINA!B103</f>
        <v>Empleado 97</v>
      </c>
      <c r="G104" s="111" t="str">
        <f>NOMINA!C103</f>
        <v>Emp 097</v>
      </c>
      <c r="H104" s="112">
        <f t="shared" si="69"/>
        <v>31</v>
      </c>
      <c r="I104" s="109">
        <v>31</v>
      </c>
      <c r="J104" s="109">
        <v>0</v>
      </c>
      <c r="K104" s="109">
        <v>0</v>
      </c>
      <c r="L104" s="113">
        <f>+NOMINA!F103</f>
        <v>0</v>
      </c>
      <c r="M104" s="113">
        <f t="shared" si="70"/>
        <v>0</v>
      </c>
      <c r="N104" s="108">
        <f t="shared" si="71"/>
        <v>741.87</v>
      </c>
      <c r="O104" s="108">
        <f t="shared" si="72"/>
        <v>0</v>
      </c>
      <c r="P104" s="108">
        <f t="shared" si="73"/>
        <v>0</v>
      </c>
      <c r="Q104" s="108">
        <f t="shared" si="74"/>
        <v>0</v>
      </c>
      <c r="R104" s="108">
        <f t="shared" si="75"/>
        <v>0</v>
      </c>
      <c r="S104" s="108">
        <f t="shared" si="76"/>
        <v>0</v>
      </c>
      <c r="T104" s="108">
        <f t="shared" si="77"/>
        <v>0</v>
      </c>
      <c r="U104" s="108">
        <f t="shared" si="78"/>
        <v>741.87</v>
      </c>
      <c r="V104" s="105"/>
      <c r="W104" s="108">
        <f t="shared" si="79"/>
        <v>0</v>
      </c>
      <c r="X104" s="108" t="e">
        <f>+ROUND(H104*M104*(VLOOKUP(M104,TABLAS!$B$29:$D$35,3,1)+1.125%),2)</f>
        <v>#N/A</v>
      </c>
      <c r="Y104" s="108">
        <f t="shared" si="80"/>
        <v>0</v>
      </c>
      <c r="Z104" s="108" t="e">
        <f t="shared" si="81"/>
        <v>#N/A</v>
      </c>
      <c r="AA104" s="105"/>
      <c r="AB104" s="108">
        <f t="shared" si="82"/>
        <v>741.87</v>
      </c>
      <c r="AC104" s="108" t="e">
        <f t="shared" si="83"/>
        <v>#N/A</v>
      </c>
      <c r="AD104" s="108">
        <f t="shared" si="84"/>
        <v>0</v>
      </c>
      <c r="AE104" s="108" t="e">
        <f t="shared" si="85"/>
        <v>#N/A</v>
      </c>
      <c r="AF104" s="105"/>
      <c r="AG104" s="108" t="e">
        <f t="shared" si="86"/>
        <v>#N/A</v>
      </c>
      <c r="AH104" s="108" t="e">
        <f t="shared" si="87"/>
        <v>#N/A</v>
      </c>
      <c r="AI104" s="108" t="e">
        <f t="shared" si="88"/>
        <v>#N/A</v>
      </c>
      <c r="AJ104" s="108" t="e">
        <f t="shared" si="89"/>
        <v>#N/A</v>
      </c>
      <c r="AK104" s="108" t="e">
        <f t="shared" si="90"/>
        <v>#N/A</v>
      </c>
      <c r="AL104" s="114" t="e">
        <f t="shared" si="91"/>
        <v>#N/A</v>
      </c>
      <c r="AM104" s="39"/>
    </row>
    <row r="105" spans="1:39" ht="12.75" customHeight="1" x14ac:dyDescent="0.25">
      <c r="A105" s="24">
        <f t="shared" si="68"/>
        <v>98</v>
      </c>
      <c r="B105" s="24"/>
      <c r="C105" s="24"/>
      <c r="D105" s="24"/>
      <c r="E105" s="24"/>
      <c r="F105" s="110" t="str">
        <f>NOMINA!B104</f>
        <v>Empleado 98</v>
      </c>
      <c r="G105" s="111" t="str">
        <f>NOMINA!C104</f>
        <v>Emp 098</v>
      </c>
      <c r="H105" s="112">
        <f t="shared" si="69"/>
        <v>31</v>
      </c>
      <c r="I105" s="109">
        <v>31</v>
      </c>
      <c r="J105" s="109">
        <v>0</v>
      </c>
      <c r="K105" s="109">
        <v>0</v>
      </c>
      <c r="L105" s="113">
        <f>+NOMINA!F104</f>
        <v>0</v>
      </c>
      <c r="M105" s="113">
        <f t="shared" si="70"/>
        <v>0</v>
      </c>
      <c r="N105" s="108">
        <f t="shared" si="71"/>
        <v>741.87</v>
      </c>
      <c r="O105" s="108">
        <f t="shared" si="72"/>
        <v>0</v>
      </c>
      <c r="P105" s="108">
        <f t="shared" si="73"/>
        <v>0</v>
      </c>
      <c r="Q105" s="108">
        <f t="shared" si="74"/>
        <v>0</v>
      </c>
      <c r="R105" s="108">
        <f t="shared" si="75"/>
        <v>0</v>
      </c>
      <c r="S105" s="108">
        <f t="shared" si="76"/>
        <v>0</v>
      </c>
      <c r="T105" s="108">
        <f t="shared" si="77"/>
        <v>0</v>
      </c>
      <c r="U105" s="108">
        <f t="shared" si="78"/>
        <v>741.87</v>
      </c>
      <c r="V105" s="105"/>
      <c r="W105" s="108">
        <f t="shared" si="79"/>
        <v>0</v>
      </c>
      <c r="X105" s="108" t="e">
        <f>+ROUND(H105*M105*(VLOOKUP(M105,TABLAS!$B$29:$D$35,3,1)+1.125%),2)</f>
        <v>#N/A</v>
      </c>
      <c r="Y105" s="108">
        <f t="shared" si="80"/>
        <v>0</v>
      </c>
      <c r="Z105" s="108" t="e">
        <f t="shared" si="81"/>
        <v>#N/A</v>
      </c>
      <c r="AA105" s="105"/>
      <c r="AB105" s="108">
        <f t="shared" si="82"/>
        <v>741.87</v>
      </c>
      <c r="AC105" s="108" t="e">
        <f t="shared" si="83"/>
        <v>#N/A</v>
      </c>
      <c r="AD105" s="108">
        <f t="shared" si="84"/>
        <v>0</v>
      </c>
      <c r="AE105" s="108" t="e">
        <f t="shared" si="85"/>
        <v>#N/A</v>
      </c>
      <c r="AF105" s="105"/>
      <c r="AG105" s="108" t="e">
        <f t="shared" si="86"/>
        <v>#N/A</v>
      </c>
      <c r="AH105" s="108" t="e">
        <f t="shared" si="87"/>
        <v>#N/A</v>
      </c>
      <c r="AI105" s="108" t="e">
        <f t="shared" si="88"/>
        <v>#N/A</v>
      </c>
      <c r="AJ105" s="108" t="e">
        <f t="shared" si="89"/>
        <v>#N/A</v>
      </c>
      <c r="AK105" s="108" t="e">
        <f t="shared" si="90"/>
        <v>#N/A</v>
      </c>
      <c r="AL105" s="114" t="e">
        <f t="shared" si="91"/>
        <v>#N/A</v>
      </c>
      <c r="AM105" s="39"/>
    </row>
    <row r="106" spans="1:39" ht="12.75" customHeight="1" x14ac:dyDescent="0.25">
      <c r="A106" s="24"/>
      <c r="B106" s="24"/>
      <c r="C106" s="24"/>
      <c r="D106" s="24"/>
      <c r="E106" s="24"/>
      <c r="F106" s="43"/>
      <c r="G106" s="25"/>
      <c r="H106" s="27"/>
      <c r="I106" s="24"/>
      <c r="J106" s="24"/>
      <c r="K106" s="24"/>
      <c r="L106" s="28"/>
      <c r="M106" s="28"/>
      <c r="N106" s="39"/>
      <c r="O106" s="39"/>
      <c r="P106" s="39"/>
      <c r="Q106" s="39"/>
      <c r="R106" s="39"/>
      <c r="S106" s="39"/>
      <c r="T106" s="39"/>
      <c r="U106" s="39"/>
      <c r="W106" s="39"/>
      <c r="X106" s="39"/>
      <c r="Y106" s="39"/>
      <c r="Z106" s="39"/>
      <c r="AB106" s="39"/>
      <c r="AC106" s="39"/>
      <c r="AD106" s="39"/>
      <c r="AE106" s="39"/>
      <c r="AG106" s="39"/>
      <c r="AH106" s="39"/>
      <c r="AI106" s="39"/>
      <c r="AJ106" s="39"/>
      <c r="AK106" s="39"/>
    </row>
    <row r="107" spans="1:39" ht="12.75" customHeight="1" thickBot="1" x14ac:dyDescent="0.3">
      <c r="A107" s="24"/>
      <c r="B107" s="24"/>
      <c r="C107" s="24"/>
      <c r="D107" s="24"/>
      <c r="E107" s="24"/>
      <c r="F107" s="33" t="s">
        <v>30</v>
      </c>
      <c r="G107" s="32"/>
      <c r="H107" s="44"/>
      <c r="I107" s="27"/>
      <c r="J107" s="27"/>
      <c r="K107" s="27"/>
      <c r="L107" s="32"/>
      <c r="M107" s="32"/>
      <c r="N107" s="41">
        <f>SUM(N8:N105)</f>
        <v>72703.260000000053</v>
      </c>
      <c r="O107" s="41">
        <f t="shared" ref="O107:AL107" si="92">SUM(O8:O105)</f>
        <v>0</v>
      </c>
      <c r="P107" s="41">
        <f t="shared" si="92"/>
        <v>0</v>
      </c>
      <c r="Q107" s="41">
        <f t="shared" si="92"/>
        <v>0</v>
      </c>
      <c r="R107" s="41">
        <f t="shared" si="92"/>
        <v>0</v>
      </c>
      <c r="S107" s="41">
        <f t="shared" si="92"/>
        <v>0</v>
      </c>
      <c r="T107" s="41">
        <f t="shared" si="92"/>
        <v>0</v>
      </c>
      <c r="U107" s="41">
        <f t="shared" si="92"/>
        <v>72703.260000000053</v>
      </c>
      <c r="V107" s="41">
        <f t="shared" si="92"/>
        <v>0</v>
      </c>
      <c r="W107" s="41">
        <f t="shared" si="92"/>
        <v>0</v>
      </c>
      <c r="X107" s="41" t="e">
        <f t="shared" si="92"/>
        <v>#N/A</v>
      </c>
      <c r="Y107" s="41">
        <f t="shared" si="92"/>
        <v>0</v>
      </c>
      <c r="Z107" s="41" t="e">
        <f t="shared" si="92"/>
        <v>#N/A</v>
      </c>
      <c r="AA107" s="41">
        <f t="shared" si="92"/>
        <v>0</v>
      </c>
      <c r="AB107" s="41">
        <f t="shared" si="92"/>
        <v>72703.260000000053</v>
      </c>
      <c r="AC107" s="41" t="e">
        <f t="shared" si="92"/>
        <v>#N/A</v>
      </c>
      <c r="AD107" s="41">
        <f t="shared" si="92"/>
        <v>0</v>
      </c>
      <c r="AE107" s="41" t="e">
        <f t="shared" si="92"/>
        <v>#N/A</v>
      </c>
      <c r="AF107" s="41">
        <f t="shared" si="92"/>
        <v>0</v>
      </c>
      <c r="AG107" s="41" t="e">
        <f t="shared" si="92"/>
        <v>#N/A</v>
      </c>
      <c r="AH107" s="41" t="e">
        <f t="shared" si="92"/>
        <v>#N/A</v>
      </c>
      <c r="AI107" s="41" t="e">
        <f t="shared" si="92"/>
        <v>#N/A</v>
      </c>
      <c r="AJ107" s="41" t="e">
        <f t="shared" si="92"/>
        <v>#N/A</v>
      </c>
      <c r="AK107" s="41" t="e">
        <f t="shared" si="92"/>
        <v>#N/A</v>
      </c>
      <c r="AL107" s="41" t="e">
        <f t="shared" si="92"/>
        <v>#N/A</v>
      </c>
    </row>
    <row r="108" spans="1:39" ht="12.75" customHeight="1" thickTop="1" x14ac:dyDescent="0.25">
      <c r="A108" s="24"/>
      <c r="B108" s="24"/>
      <c r="C108" s="24"/>
      <c r="D108" s="24"/>
      <c r="E108" s="24"/>
      <c r="N108" s="29"/>
    </row>
    <row r="109" spans="1:39" ht="12.75" customHeight="1" x14ac:dyDescent="0.25">
      <c r="A109" s="24"/>
      <c r="B109" s="24"/>
      <c r="C109" s="24"/>
      <c r="D109" s="24"/>
      <c r="E109" s="24"/>
      <c r="H109" s="38"/>
      <c r="I109" s="38"/>
      <c r="J109" s="38"/>
      <c r="K109" s="38"/>
      <c r="U109" s="29"/>
      <c r="W109" s="34"/>
      <c r="X109" s="34"/>
      <c r="Y109" s="34"/>
      <c r="Z109" s="34"/>
      <c r="AC109" s="29"/>
      <c r="AJ109" s="42" t="e">
        <f>+AJ107*2</f>
        <v>#N/A</v>
      </c>
    </row>
    <row r="110" spans="1:39" ht="12.75" customHeight="1" x14ac:dyDescent="0.25">
      <c r="A110" s="24"/>
      <c r="B110" s="24"/>
      <c r="C110" s="24"/>
      <c r="D110" s="24"/>
      <c r="E110" s="24"/>
    </row>
    <row r="111" spans="1:39" ht="12.75" customHeight="1" x14ac:dyDescent="0.25">
      <c r="A111" s="32"/>
      <c r="B111" s="32"/>
      <c r="C111" s="32"/>
      <c r="D111" s="32"/>
      <c r="E111" s="32"/>
      <c r="X111" s="160" t="e">
        <f>U107+Z107</f>
        <v>#N/A</v>
      </c>
      <c r="AC111" s="22"/>
    </row>
  </sheetData>
  <mergeCells count="26">
    <mergeCell ref="AG5:AG6"/>
    <mergeCell ref="M5:M6"/>
    <mergeCell ref="AH5:AH6"/>
    <mergeCell ref="AI5:AI6"/>
    <mergeCell ref="A5:A6"/>
    <mergeCell ref="F5:F6"/>
    <mergeCell ref="G5:G6"/>
    <mergeCell ref="H5:H6"/>
    <mergeCell ref="U5:U6"/>
    <mergeCell ref="X5:X6"/>
    <mergeCell ref="AL5:AL6"/>
    <mergeCell ref="A2:G3"/>
    <mergeCell ref="N4:Q4"/>
    <mergeCell ref="AB4:AE4"/>
    <mergeCell ref="AG4:AI4"/>
    <mergeCell ref="I5:I6"/>
    <mergeCell ref="J5:J6"/>
    <mergeCell ref="K5:K6"/>
    <mergeCell ref="L5:L6"/>
    <mergeCell ref="Z5:Z6"/>
    <mergeCell ref="AB5:AB6"/>
    <mergeCell ref="AC5:AC6"/>
    <mergeCell ref="AD5:AD6"/>
    <mergeCell ref="AE5:AE6"/>
    <mergeCell ref="AK5:AK6"/>
    <mergeCell ref="AJ4:AJ6"/>
  </mergeCells>
  <phoneticPr fontId="28" type="noConversion"/>
  <printOptions horizontalCentered="1" verticalCentered="1"/>
  <pageMargins left="0.19685039370078741" right="0.19685039370078741" top="0.39370078740157483" bottom="0.39370078740157483" header="1.5748031496062993" footer="0"/>
  <pageSetup scale="65" orientation="landscape" horizontalDpi="120" verticalDpi="144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6"/>
  <sheetViews>
    <sheetView topLeftCell="A83" zoomScaleNormal="100" zoomScalePageLayoutView="150" workbookViewId="0">
      <selection activeCell="P100" sqref="P100"/>
    </sheetView>
  </sheetViews>
  <sheetFormatPr baseColWidth="10" defaultColWidth="11.453125" defaultRowHeight="12.75" customHeight="1" x14ac:dyDescent="0.25"/>
  <cols>
    <col min="1" max="1" width="4.81640625" style="1" customWidth="1"/>
    <col min="2" max="2" width="8.1796875" style="1" bestFit="1" customWidth="1"/>
    <col min="3" max="3" width="6.453125" style="1" bestFit="1" customWidth="1"/>
    <col min="4" max="4" width="13.26953125" style="1" customWidth="1"/>
    <col min="5" max="5" width="11" style="1" bestFit="1" customWidth="1"/>
    <col min="6" max="6" width="11.453125" style="1" customWidth="1"/>
    <col min="7" max="10" width="11.7265625" style="1" hidden="1" customWidth="1"/>
    <col min="11" max="11" width="14" style="1" hidden="1" customWidth="1"/>
    <col min="12" max="12" width="12.81640625" style="11" hidden="1" customWidth="1"/>
    <col min="13" max="13" width="11" style="1" hidden="1" customWidth="1"/>
    <col min="14" max="14" width="13.453125" style="1" bestFit="1" customWidth="1"/>
    <col min="15" max="15" width="11.453125" style="1"/>
    <col min="16" max="16" width="11.453125" style="3"/>
    <col min="17" max="16384" width="11.453125" style="1"/>
  </cols>
  <sheetData>
    <row r="1" spans="1:14" ht="12.75" customHeight="1" thickBot="1" x14ac:dyDescent="0.3"/>
    <row r="2" spans="1:14" ht="20.5" thickBot="1" x14ac:dyDescent="0.45">
      <c r="A2" s="207" t="str">
        <f>NOMINA!A2</f>
        <v>NOMINA GENERAL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9"/>
    </row>
    <row r="3" spans="1:14" ht="20" x14ac:dyDescent="0.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2" thickBot="1" x14ac:dyDescent="0.3"/>
    <row r="5" spans="1:14" ht="11.5" x14ac:dyDescent="0.25">
      <c r="A5" s="210" t="s">
        <v>6</v>
      </c>
      <c r="B5" s="211" t="s">
        <v>7</v>
      </c>
      <c r="C5" s="211" t="s">
        <v>8</v>
      </c>
      <c r="D5" s="212" t="s">
        <v>53</v>
      </c>
      <c r="E5" s="212" t="s">
        <v>9</v>
      </c>
      <c r="F5" s="212" t="s">
        <v>13</v>
      </c>
      <c r="G5" s="212" t="s">
        <v>49</v>
      </c>
      <c r="H5" s="212" t="s">
        <v>50</v>
      </c>
      <c r="I5" s="212" t="s">
        <v>51</v>
      </c>
      <c r="J5" s="212" t="s">
        <v>48</v>
      </c>
      <c r="K5" s="212" t="s">
        <v>52</v>
      </c>
      <c r="L5" s="213" t="s">
        <v>61</v>
      </c>
      <c r="M5" s="212" t="s">
        <v>60</v>
      </c>
      <c r="N5" s="214" t="s">
        <v>32</v>
      </c>
    </row>
    <row r="6" spans="1:14" ht="12" thickBot="1" x14ac:dyDescent="0.3">
      <c r="A6" s="215"/>
      <c r="B6" s="199"/>
      <c r="C6" s="199"/>
      <c r="D6" s="196"/>
      <c r="E6" s="196"/>
      <c r="F6" s="196"/>
      <c r="G6" s="196"/>
      <c r="H6" s="196"/>
      <c r="I6" s="196"/>
      <c r="J6" s="196"/>
      <c r="K6" s="196"/>
      <c r="L6" s="197"/>
      <c r="M6" s="196"/>
      <c r="N6" s="216"/>
    </row>
    <row r="7" spans="1:14" ht="14" x14ac:dyDescent="0.25">
      <c r="A7" s="217">
        <v>1</v>
      </c>
      <c r="B7" s="115" t="str">
        <f>NOMINA!B7</f>
        <v>Empleado 1</v>
      </c>
      <c r="C7" s="115" t="str">
        <f>NOMINA!C7</f>
        <v>Emp 001</v>
      </c>
      <c r="D7" s="116">
        <f>+NOMINA!D7</f>
        <v>0</v>
      </c>
      <c r="E7" s="117">
        <v>30</v>
      </c>
      <c r="F7" s="118">
        <f t="shared" ref="F7" si="0">D7/E7</f>
        <v>0</v>
      </c>
      <c r="G7" s="79">
        <f t="shared" ref="G7" si="1">+E7*F7</f>
        <v>0</v>
      </c>
      <c r="H7" s="80" t="e">
        <f>(G7-VLOOKUP(G7,TABLAS!$A$7:$D$14,1))*VLOOKUP(G7,TABLAS!$A$7:$D$14,4)+VLOOKUP(G7,TABLAS!$A$7:$D$14,3)</f>
        <v>#N/A</v>
      </c>
      <c r="I7" s="79" t="e">
        <f>+VLOOKUP(G7,TABLAS!#REF!,3)</f>
        <v>#REF!</v>
      </c>
      <c r="J7" s="79" t="e">
        <f t="shared" ref="J7" si="2">+IF(I7&gt;H7,I7-H7,0)</f>
        <v>#REF!</v>
      </c>
      <c r="K7" s="79" t="e">
        <f t="shared" ref="K7" si="3">+IF(H7&gt;I7,H7-I7,0)</f>
        <v>#N/A</v>
      </c>
      <c r="L7" s="81" t="e">
        <f t="shared" ref="L7" si="4">+G7+J7-K7</f>
        <v>#REF!</v>
      </c>
      <c r="M7" s="80" t="e">
        <f>+IF(K7&gt;0,(D7-G7-#REF!),D7-L7)</f>
        <v>#N/A</v>
      </c>
      <c r="N7" s="218" t="e">
        <f>'IMSS REAL'!AL7</f>
        <v>#N/A</v>
      </c>
    </row>
    <row r="8" spans="1:14" ht="14" x14ac:dyDescent="0.25">
      <c r="A8" s="219">
        <f>A7+1</f>
        <v>2</v>
      </c>
      <c r="B8" s="115" t="str">
        <f>NOMINA!B8</f>
        <v>Empleado 2</v>
      </c>
      <c r="C8" s="115" t="str">
        <f>NOMINA!C8</f>
        <v>Emp 002</v>
      </c>
      <c r="D8" s="116">
        <f>+NOMINA!D8</f>
        <v>0</v>
      </c>
      <c r="E8" s="117">
        <v>30</v>
      </c>
      <c r="F8" s="118">
        <f t="shared" ref="F8:F22" si="5">D8/E8</f>
        <v>0</v>
      </c>
      <c r="G8" s="79">
        <f t="shared" ref="G8:G22" si="6">+E8*F8</f>
        <v>0</v>
      </c>
      <c r="H8" s="80" t="e">
        <f>(G8-VLOOKUP(G8,TABLAS!$A$7:$D$14,1))*VLOOKUP(G8,TABLAS!$A$7:$D$14,4)+VLOOKUP(G8,TABLAS!$A$7:$D$14,3)</f>
        <v>#N/A</v>
      </c>
      <c r="I8" s="79" t="e">
        <f>+VLOOKUP(G8,TABLAS!#REF!,3)</f>
        <v>#REF!</v>
      </c>
      <c r="J8" s="79" t="e">
        <f t="shared" ref="J8:J22" si="7">+IF(I8&gt;H8,I8-H8,0)</f>
        <v>#REF!</v>
      </c>
      <c r="K8" s="79" t="e">
        <f t="shared" ref="K8:K22" si="8">+IF(H8&gt;I8,H8-I8,0)</f>
        <v>#N/A</v>
      </c>
      <c r="L8" s="81" t="e">
        <f t="shared" ref="L8:L22" si="9">+G8+J8-K8</f>
        <v>#REF!</v>
      </c>
      <c r="M8" s="80" t="e">
        <f>+IF(K8&gt;0,(D8-G8-#REF!),D8-L8)</f>
        <v>#N/A</v>
      </c>
      <c r="N8" s="218" t="e">
        <f>'IMSS REAL'!AL8</f>
        <v>#N/A</v>
      </c>
    </row>
    <row r="9" spans="1:14" ht="12.75" customHeight="1" x14ac:dyDescent="0.25">
      <c r="A9" s="219">
        <f t="shared" ref="A9:A72" si="10">A8+1</f>
        <v>3</v>
      </c>
      <c r="B9" s="115" t="str">
        <f>NOMINA!B9</f>
        <v>Empleado 3</v>
      </c>
      <c r="C9" s="115" t="str">
        <f>NOMINA!C9</f>
        <v>Emp 003</v>
      </c>
      <c r="D9" s="116">
        <f>+NOMINA!D9</f>
        <v>0</v>
      </c>
      <c r="E9" s="117">
        <v>30</v>
      </c>
      <c r="F9" s="118">
        <f t="shared" si="5"/>
        <v>0</v>
      </c>
      <c r="G9" s="79">
        <f t="shared" si="6"/>
        <v>0</v>
      </c>
      <c r="H9" s="80" t="e">
        <f>(G9-VLOOKUP(G9,TABLAS!$A$7:$D$14,1))*VLOOKUP(G9,TABLAS!$A$7:$D$14,4)+VLOOKUP(G9,TABLAS!$A$7:$D$14,3)</f>
        <v>#N/A</v>
      </c>
      <c r="I9" s="79" t="e">
        <f>+VLOOKUP(G9,TABLAS!#REF!,3)</f>
        <v>#REF!</v>
      </c>
      <c r="J9" s="79" t="e">
        <f t="shared" si="7"/>
        <v>#REF!</v>
      </c>
      <c r="K9" s="79" t="e">
        <f t="shared" si="8"/>
        <v>#N/A</v>
      </c>
      <c r="L9" s="81" t="e">
        <f t="shared" si="9"/>
        <v>#REF!</v>
      </c>
      <c r="M9" s="80" t="e">
        <f>+IF(K9&gt;0,(D9-G9-#REF!),D9-L9)</f>
        <v>#N/A</v>
      </c>
      <c r="N9" s="218" t="e">
        <f>'IMSS REAL'!AL9</f>
        <v>#N/A</v>
      </c>
    </row>
    <row r="10" spans="1:14" ht="12.75" customHeight="1" x14ac:dyDescent="0.25">
      <c r="A10" s="219">
        <f t="shared" si="10"/>
        <v>4</v>
      </c>
      <c r="B10" s="115" t="str">
        <f>NOMINA!B10</f>
        <v>Empleado 4</v>
      </c>
      <c r="C10" s="115" t="str">
        <f>NOMINA!C10</f>
        <v>Emp 004</v>
      </c>
      <c r="D10" s="116">
        <f>+NOMINA!D10</f>
        <v>0</v>
      </c>
      <c r="E10" s="117">
        <v>30</v>
      </c>
      <c r="F10" s="118">
        <f t="shared" si="5"/>
        <v>0</v>
      </c>
      <c r="G10" s="79">
        <f t="shared" si="6"/>
        <v>0</v>
      </c>
      <c r="H10" s="80" t="e">
        <f>(G10-VLOOKUP(G10,TABLAS!$A$7:$D$14,1))*VLOOKUP(G10,TABLAS!$A$7:$D$14,4)+VLOOKUP(G10,TABLAS!$A$7:$D$14,3)</f>
        <v>#N/A</v>
      </c>
      <c r="I10" s="79" t="e">
        <f>+VLOOKUP(G10,TABLAS!#REF!,3)</f>
        <v>#REF!</v>
      </c>
      <c r="J10" s="79" t="e">
        <f t="shared" si="7"/>
        <v>#REF!</v>
      </c>
      <c r="K10" s="79" t="e">
        <f t="shared" si="8"/>
        <v>#N/A</v>
      </c>
      <c r="L10" s="81" t="e">
        <f t="shared" si="9"/>
        <v>#REF!</v>
      </c>
      <c r="M10" s="80" t="e">
        <f>+IF(K10&gt;0,(D10-G10-#REF!),D10-L10)</f>
        <v>#N/A</v>
      </c>
      <c r="N10" s="218" t="e">
        <f>'IMSS REAL'!AL10</f>
        <v>#N/A</v>
      </c>
    </row>
    <row r="11" spans="1:14" ht="12.75" customHeight="1" x14ac:dyDescent="0.25">
      <c r="A11" s="219">
        <f t="shared" si="10"/>
        <v>5</v>
      </c>
      <c r="B11" s="115" t="str">
        <f>NOMINA!B11</f>
        <v>Empleado 5</v>
      </c>
      <c r="C11" s="115" t="str">
        <f>NOMINA!C11</f>
        <v>Emp 005</v>
      </c>
      <c r="D11" s="116">
        <f>+NOMINA!D11</f>
        <v>0</v>
      </c>
      <c r="E11" s="117">
        <v>30</v>
      </c>
      <c r="F11" s="118">
        <f t="shared" si="5"/>
        <v>0</v>
      </c>
      <c r="G11" s="79">
        <f t="shared" si="6"/>
        <v>0</v>
      </c>
      <c r="H11" s="80" t="e">
        <f>(G11-VLOOKUP(G11,TABLAS!$A$7:$D$14,1))*VLOOKUP(G11,TABLAS!$A$7:$D$14,4)+VLOOKUP(G11,TABLAS!$A$7:$D$14,3)</f>
        <v>#N/A</v>
      </c>
      <c r="I11" s="79" t="e">
        <f>+VLOOKUP(G11,TABLAS!#REF!,3)</f>
        <v>#REF!</v>
      </c>
      <c r="J11" s="79" t="e">
        <f t="shared" si="7"/>
        <v>#REF!</v>
      </c>
      <c r="K11" s="79" t="e">
        <f t="shared" si="8"/>
        <v>#N/A</v>
      </c>
      <c r="L11" s="81" t="e">
        <f t="shared" si="9"/>
        <v>#REF!</v>
      </c>
      <c r="M11" s="80" t="e">
        <f>+IF(K11&gt;0,(D11-G11-#REF!),D11-L11)</f>
        <v>#N/A</v>
      </c>
      <c r="N11" s="218" t="e">
        <f>'IMSS REAL'!AL11</f>
        <v>#N/A</v>
      </c>
    </row>
    <row r="12" spans="1:14" ht="12.75" customHeight="1" x14ac:dyDescent="0.25">
      <c r="A12" s="219">
        <f t="shared" si="10"/>
        <v>6</v>
      </c>
      <c r="B12" s="115" t="str">
        <f>NOMINA!B12</f>
        <v>Empleado 6</v>
      </c>
      <c r="C12" s="115" t="str">
        <f>NOMINA!C12</f>
        <v>Emp 006</v>
      </c>
      <c r="D12" s="116">
        <f>+NOMINA!D12</f>
        <v>0</v>
      </c>
      <c r="E12" s="117">
        <v>30</v>
      </c>
      <c r="F12" s="118">
        <f t="shared" si="5"/>
        <v>0</v>
      </c>
      <c r="G12" s="79">
        <f t="shared" si="6"/>
        <v>0</v>
      </c>
      <c r="H12" s="80" t="e">
        <f>(G12-VLOOKUP(G12,TABLAS!$A$7:$D$14,1))*VLOOKUP(G12,TABLAS!$A$7:$D$14,4)+VLOOKUP(G12,TABLAS!$A$7:$D$14,3)</f>
        <v>#N/A</v>
      </c>
      <c r="I12" s="79" t="e">
        <f>+VLOOKUP(G12,TABLAS!#REF!,3)</f>
        <v>#REF!</v>
      </c>
      <c r="J12" s="79" t="e">
        <f t="shared" si="7"/>
        <v>#REF!</v>
      </c>
      <c r="K12" s="79" t="e">
        <f t="shared" si="8"/>
        <v>#N/A</v>
      </c>
      <c r="L12" s="81" t="e">
        <f t="shared" si="9"/>
        <v>#REF!</v>
      </c>
      <c r="M12" s="80" t="e">
        <f>+IF(K12&gt;0,(D12-G12-#REF!),D12-L12)</f>
        <v>#N/A</v>
      </c>
      <c r="N12" s="218" t="e">
        <f>'IMSS REAL'!AL12</f>
        <v>#N/A</v>
      </c>
    </row>
    <row r="13" spans="1:14" ht="12.75" customHeight="1" x14ac:dyDescent="0.25">
      <c r="A13" s="219">
        <f t="shared" si="10"/>
        <v>7</v>
      </c>
      <c r="B13" s="115" t="str">
        <f>NOMINA!B13</f>
        <v>Empleado 7</v>
      </c>
      <c r="C13" s="115" t="str">
        <f>NOMINA!C13</f>
        <v>Emp 007</v>
      </c>
      <c r="D13" s="116">
        <f>+NOMINA!D13</f>
        <v>0</v>
      </c>
      <c r="E13" s="117">
        <v>30</v>
      </c>
      <c r="F13" s="118">
        <f t="shared" si="5"/>
        <v>0</v>
      </c>
      <c r="G13" s="79">
        <f t="shared" si="6"/>
        <v>0</v>
      </c>
      <c r="H13" s="80" t="e">
        <f>(G13-VLOOKUP(G13,TABLAS!$A$7:$D$14,1))*VLOOKUP(G13,TABLAS!$A$7:$D$14,4)+VLOOKUP(G13,TABLAS!$A$7:$D$14,3)</f>
        <v>#N/A</v>
      </c>
      <c r="I13" s="79" t="e">
        <f>+VLOOKUP(G13,TABLAS!#REF!,3)</f>
        <v>#REF!</v>
      </c>
      <c r="J13" s="79" t="e">
        <f t="shared" si="7"/>
        <v>#REF!</v>
      </c>
      <c r="K13" s="79" t="e">
        <f t="shared" si="8"/>
        <v>#N/A</v>
      </c>
      <c r="L13" s="81" t="e">
        <f t="shared" si="9"/>
        <v>#REF!</v>
      </c>
      <c r="M13" s="80" t="e">
        <f>+IF(K13&gt;0,(D13-G13-#REF!),D13-L13)</f>
        <v>#N/A</v>
      </c>
      <c r="N13" s="218" t="e">
        <f>'IMSS REAL'!AL13</f>
        <v>#N/A</v>
      </c>
    </row>
    <row r="14" spans="1:14" ht="12.75" customHeight="1" x14ac:dyDescent="0.25">
      <c r="A14" s="219">
        <f t="shared" si="10"/>
        <v>8</v>
      </c>
      <c r="B14" s="115" t="str">
        <f>NOMINA!B14</f>
        <v>Empleado 8</v>
      </c>
      <c r="C14" s="115" t="str">
        <f>NOMINA!C14</f>
        <v>Emp 008</v>
      </c>
      <c r="D14" s="116">
        <f>+NOMINA!D14</f>
        <v>0</v>
      </c>
      <c r="E14" s="117">
        <v>30</v>
      </c>
      <c r="F14" s="118">
        <f t="shared" si="5"/>
        <v>0</v>
      </c>
      <c r="G14" s="79">
        <f t="shared" si="6"/>
        <v>0</v>
      </c>
      <c r="H14" s="80" t="e">
        <f>(G14-VLOOKUP(G14,TABLAS!$A$7:$D$14,1))*VLOOKUP(G14,TABLAS!$A$7:$D$14,4)+VLOOKUP(G14,TABLAS!$A$7:$D$14,3)</f>
        <v>#N/A</v>
      </c>
      <c r="I14" s="79" t="e">
        <f>+VLOOKUP(G14,TABLAS!#REF!,3)</f>
        <v>#REF!</v>
      </c>
      <c r="J14" s="79" t="e">
        <f t="shared" si="7"/>
        <v>#REF!</v>
      </c>
      <c r="K14" s="79" t="e">
        <f t="shared" si="8"/>
        <v>#N/A</v>
      </c>
      <c r="L14" s="81" t="e">
        <f t="shared" si="9"/>
        <v>#REF!</v>
      </c>
      <c r="M14" s="80" t="e">
        <f>+IF(K14&gt;0,(D14-G14-#REF!),D14-L14)</f>
        <v>#N/A</v>
      </c>
      <c r="N14" s="218" t="e">
        <f>'IMSS REAL'!AL14</f>
        <v>#N/A</v>
      </c>
    </row>
    <row r="15" spans="1:14" ht="12.75" customHeight="1" x14ac:dyDescent="0.25">
      <c r="A15" s="219">
        <f t="shared" si="10"/>
        <v>9</v>
      </c>
      <c r="B15" s="115" t="str">
        <f>NOMINA!B15</f>
        <v>Empleado 9</v>
      </c>
      <c r="C15" s="115" t="str">
        <f>NOMINA!C15</f>
        <v>Emp 009</v>
      </c>
      <c r="D15" s="116">
        <f>+NOMINA!D15</f>
        <v>0</v>
      </c>
      <c r="E15" s="117">
        <v>30</v>
      </c>
      <c r="F15" s="118">
        <f t="shared" si="5"/>
        <v>0</v>
      </c>
      <c r="G15" s="79">
        <f t="shared" si="6"/>
        <v>0</v>
      </c>
      <c r="H15" s="80" t="e">
        <f>(G15-VLOOKUP(G15,TABLAS!$A$7:$D$14,1))*VLOOKUP(G15,TABLAS!$A$7:$D$14,4)+VLOOKUP(G15,TABLAS!$A$7:$D$14,3)</f>
        <v>#N/A</v>
      </c>
      <c r="I15" s="79" t="e">
        <f>+VLOOKUP(G15,TABLAS!#REF!,3)</f>
        <v>#REF!</v>
      </c>
      <c r="J15" s="79" t="e">
        <f t="shared" si="7"/>
        <v>#REF!</v>
      </c>
      <c r="K15" s="79" t="e">
        <f t="shared" si="8"/>
        <v>#N/A</v>
      </c>
      <c r="L15" s="81" t="e">
        <f t="shared" si="9"/>
        <v>#REF!</v>
      </c>
      <c r="M15" s="80" t="e">
        <f>+IF(K15&gt;0,(D15-G15-#REF!),D15-L15)</f>
        <v>#N/A</v>
      </c>
      <c r="N15" s="218" t="e">
        <f>'IMSS REAL'!AL15</f>
        <v>#N/A</v>
      </c>
    </row>
    <row r="16" spans="1:14" ht="12.75" customHeight="1" x14ac:dyDescent="0.25">
      <c r="A16" s="219">
        <f t="shared" si="10"/>
        <v>10</v>
      </c>
      <c r="B16" s="115" t="str">
        <f>NOMINA!B16</f>
        <v>Empleado 10</v>
      </c>
      <c r="C16" s="115" t="str">
        <f>NOMINA!C16</f>
        <v>Emp 010</v>
      </c>
      <c r="D16" s="116">
        <f>+NOMINA!D16</f>
        <v>0</v>
      </c>
      <c r="E16" s="117">
        <v>30</v>
      </c>
      <c r="F16" s="118">
        <f t="shared" si="5"/>
        <v>0</v>
      </c>
      <c r="G16" s="79">
        <f t="shared" si="6"/>
        <v>0</v>
      </c>
      <c r="H16" s="80" t="e">
        <f>(G16-VLOOKUP(G16,TABLAS!$A$7:$D$14,1))*VLOOKUP(G16,TABLAS!$A$7:$D$14,4)+VLOOKUP(G16,TABLAS!$A$7:$D$14,3)</f>
        <v>#N/A</v>
      </c>
      <c r="I16" s="79" t="e">
        <f>+VLOOKUP(G16,TABLAS!#REF!,3)</f>
        <v>#REF!</v>
      </c>
      <c r="J16" s="79" t="e">
        <f t="shared" si="7"/>
        <v>#REF!</v>
      </c>
      <c r="K16" s="79" t="e">
        <f t="shared" si="8"/>
        <v>#N/A</v>
      </c>
      <c r="L16" s="81" t="e">
        <f t="shared" si="9"/>
        <v>#REF!</v>
      </c>
      <c r="M16" s="80" t="e">
        <f>+IF(K16&gt;0,(D16-G16-#REF!),D16-L16)</f>
        <v>#N/A</v>
      </c>
      <c r="N16" s="218" t="e">
        <f>'IMSS REAL'!AL16</f>
        <v>#N/A</v>
      </c>
    </row>
    <row r="17" spans="1:14" ht="12.75" customHeight="1" x14ac:dyDescent="0.25">
      <c r="A17" s="219">
        <f t="shared" si="10"/>
        <v>11</v>
      </c>
      <c r="B17" s="115" t="str">
        <f>NOMINA!B17</f>
        <v>Empleado 11</v>
      </c>
      <c r="C17" s="115" t="str">
        <f>NOMINA!C17</f>
        <v>Emp 011</v>
      </c>
      <c r="D17" s="116">
        <f>+NOMINA!D17</f>
        <v>0</v>
      </c>
      <c r="E17" s="117">
        <v>30</v>
      </c>
      <c r="F17" s="118">
        <f t="shared" si="5"/>
        <v>0</v>
      </c>
      <c r="G17" s="79">
        <f t="shared" si="6"/>
        <v>0</v>
      </c>
      <c r="H17" s="80" t="e">
        <f>(G17-VLOOKUP(G17,TABLAS!$A$7:$D$14,1))*VLOOKUP(G17,TABLAS!$A$7:$D$14,4)+VLOOKUP(G17,TABLAS!$A$7:$D$14,3)</f>
        <v>#N/A</v>
      </c>
      <c r="I17" s="79" t="e">
        <f>+VLOOKUP(G17,TABLAS!#REF!,3)</f>
        <v>#REF!</v>
      </c>
      <c r="J17" s="79" t="e">
        <f t="shared" si="7"/>
        <v>#REF!</v>
      </c>
      <c r="K17" s="79" t="e">
        <f t="shared" si="8"/>
        <v>#N/A</v>
      </c>
      <c r="L17" s="81" t="e">
        <f t="shared" si="9"/>
        <v>#REF!</v>
      </c>
      <c r="M17" s="80" t="e">
        <f>+IF(K17&gt;0,(D17-G17-#REF!),D17-L17)</f>
        <v>#N/A</v>
      </c>
      <c r="N17" s="218" t="e">
        <f>'IMSS REAL'!AL17</f>
        <v>#N/A</v>
      </c>
    </row>
    <row r="18" spans="1:14" ht="12.75" customHeight="1" x14ac:dyDescent="0.25">
      <c r="A18" s="219">
        <f t="shared" si="10"/>
        <v>12</v>
      </c>
      <c r="B18" s="115" t="str">
        <f>NOMINA!B18</f>
        <v>Empleado 12</v>
      </c>
      <c r="C18" s="115" t="str">
        <f>NOMINA!C18</f>
        <v>Emp 012</v>
      </c>
      <c r="D18" s="116">
        <f>+NOMINA!D18</f>
        <v>0</v>
      </c>
      <c r="E18" s="117">
        <v>30</v>
      </c>
      <c r="F18" s="118">
        <f t="shared" si="5"/>
        <v>0</v>
      </c>
      <c r="G18" s="79">
        <f t="shared" si="6"/>
        <v>0</v>
      </c>
      <c r="H18" s="80" t="e">
        <f>(G18-VLOOKUP(G18,TABLAS!$A$7:$D$14,1))*VLOOKUP(G18,TABLAS!$A$7:$D$14,4)+VLOOKUP(G18,TABLAS!$A$7:$D$14,3)</f>
        <v>#N/A</v>
      </c>
      <c r="I18" s="79" t="e">
        <f>+VLOOKUP(G18,TABLAS!#REF!,3)</f>
        <v>#REF!</v>
      </c>
      <c r="J18" s="79" t="e">
        <f t="shared" si="7"/>
        <v>#REF!</v>
      </c>
      <c r="K18" s="79" t="e">
        <f t="shared" si="8"/>
        <v>#N/A</v>
      </c>
      <c r="L18" s="81" t="e">
        <f t="shared" si="9"/>
        <v>#REF!</v>
      </c>
      <c r="M18" s="80" t="e">
        <f>+IF(K18&gt;0,(D18-G18-#REF!),D18-L18)</f>
        <v>#N/A</v>
      </c>
      <c r="N18" s="218" t="e">
        <f>'IMSS REAL'!AL18</f>
        <v>#N/A</v>
      </c>
    </row>
    <row r="19" spans="1:14" ht="12.75" customHeight="1" x14ac:dyDescent="0.25">
      <c r="A19" s="219">
        <f t="shared" si="10"/>
        <v>13</v>
      </c>
      <c r="B19" s="115" t="str">
        <f>NOMINA!B19</f>
        <v>Empleado 13</v>
      </c>
      <c r="C19" s="115" t="str">
        <f>NOMINA!C19</f>
        <v>Emp 013</v>
      </c>
      <c r="D19" s="116">
        <f>+NOMINA!D19</f>
        <v>0</v>
      </c>
      <c r="E19" s="117">
        <v>30</v>
      </c>
      <c r="F19" s="118">
        <f t="shared" si="5"/>
        <v>0</v>
      </c>
      <c r="G19" s="79">
        <f t="shared" si="6"/>
        <v>0</v>
      </c>
      <c r="H19" s="80" t="e">
        <f>(G19-VLOOKUP(G19,TABLAS!$A$7:$D$14,1))*VLOOKUP(G19,TABLAS!$A$7:$D$14,4)+VLOOKUP(G19,TABLAS!$A$7:$D$14,3)</f>
        <v>#N/A</v>
      </c>
      <c r="I19" s="79" t="e">
        <f>+VLOOKUP(G19,TABLAS!#REF!,3)</f>
        <v>#REF!</v>
      </c>
      <c r="J19" s="79" t="e">
        <f t="shared" si="7"/>
        <v>#REF!</v>
      </c>
      <c r="K19" s="79" t="e">
        <f t="shared" si="8"/>
        <v>#N/A</v>
      </c>
      <c r="L19" s="81" t="e">
        <f t="shared" si="9"/>
        <v>#REF!</v>
      </c>
      <c r="M19" s="80" t="e">
        <f>+IF(K19&gt;0,(D19-G19-#REF!),D19-L19)</f>
        <v>#N/A</v>
      </c>
      <c r="N19" s="218" t="e">
        <f>'IMSS REAL'!AL19</f>
        <v>#N/A</v>
      </c>
    </row>
    <row r="20" spans="1:14" ht="12.75" customHeight="1" x14ac:dyDescent="0.25">
      <c r="A20" s="219">
        <f t="shared" si="10"/>
        <v>14</v>
      </c>
      <c r="B20" s="115" t="str">
        <f>NOMINA!B20</f>
        <v>Empleado 14</v>
      </c>
      <c r="C20" s="115" t="str">
        <f>NOMINA!C20</f>
        <v>Emp 014</v>
      </c>
      <c r="D20" s="116">
        <f>+NOMINA!D20</f>
        <v>0</v>
      </c>
      <c r="E20" s="117">
        <v>30</v>
      </c>
      <c r="F20" s="118">
        <f t="shared" si="5"/>
        <v>0</v>
      </c>
      <c r="G20" s="79">
        <f t="shared" si="6"/>
        <v>0</v>
      </c>
      <c r="H20" s="80" t="e">
        <f>(G20-VLOOKUP(G20,TABLAS!$A$7:$D$14,1))*VLOOKUP(G20,TABLAS!$A$7:$D$14,4)+VLOOKUP(G20,TABLAS!$A$7:$D$14,3)</f>
        <v>#N/A</v>
      </c>
      <c r="I20" s="79" t="e">
        <f>+VLOOKUP(G20,TABLAS!#REF!,3)</f>
        <v>#REF!</v>
      </c>
      <c r="J20" s="79" t="e">
        <f t="shared" si="7"/>
        <v>#REF!</v>
      </c>
      <c r="K20" s="79" t="e">
        <f t="shared" si="8"/>
        <v>#N/A</v>
      </c>
      <c r="L20" s="81" t="e">
        <f t="shared" si="9"/>
        <v>#REF!</v>
      </c>
      <c r="M20" s="80" t="e">
        <f>+IF(K20&gt;0,(D20-G20-#REF!),D20-L20)</f>
        <v>#N/A</v>
      </c>
      <c r="N20" s="218" t="e">
        <f>'IMSS REAL'!AL20</f>
        <v>#N/A</v>
      </c>
    </row>
    <row r="21" spans="1:14" ht="12.75" customHeight="1" x14ac:dyDescent="0.25">
      <c r="A21" s="219">
        <f t="shared" si="10"/>
        <v>15</v>
      </c>
      <c r="B21" s="115" t="str">
        <f>NOMINA!B21</f>
        <v>Empleado 15</v>
      </c>
      <c r="C21" s="115" t="str">
        <f>NOMINA!C21</f>
        <v>Emp 015</v>
      </c>
      <c r="D21" s="116">
        <f>+NOMINA!D21</f>
        <v>0</v>
      </c>
      <c r="E21" s="117">
        <v>30</v>
      </c>
      <c r="F21" s="118">
        <f t="shared" si="5"/>
        <v>0</v>
      </c>
      <c r="G21" s="79">
        <f t="shared" si="6"/>
        <v>0</v>
      </c>
      <c r="H21" s="80" t="e">
        <f>(G21-VLOOKUP(G21,TABLAS!$A$7:$D$14,1))*VLOOKUP(G21,TABLAS!$A$7:$D$14,4)+VLOOKUP(G21,TABLAS!$A$7:$D$14,3)</f>
        <v>#N/A</v>
      </c>
      <c r="I21" s="79" t="e">
        <f>+VLOOKUP(G21,TABLAS!#REF!,3)</f>
        <v>#REF!</v>
      </c>
      <c r="J21" s="79" t="e">
        <f t="shared" si="7"/>
        <v>#REF!</v>
      </c>
      <c r="K21" s="79" t="e">
        <f t="shared" si="8"/>
        <v>#N/A</v>
      </c>
      <c r="L21" s="81" t="e">
        <f t="shared" si="9"/>
        <v>#REF!</v>
      </c>
      <c r="M21" s="80" t="e">
        <f>+IF(K21&gt;0,(D21-G21-#REF!),D21-L21)</f>
        <v>#N/A</v>
      </c>
      <c r="N21" s="218" t="e">
        <f>'IMSS REAL'!AL21</f>
        <v>#N/A</v>
      </c>
    </row>
    <row r="22" spans="1:14" ht="12.75" customHeight="1" x14ac:dyDescent="0.25">
      <c r="A22" s="219">
        <f t="shared" si="10"/>
        <v>16</v>
      </c>
      <c r="B22" s="115" t="str">
        <f>NOMINA!B22</f>
        <v>Empleado 16</v>
      </c>
      <c r="C22" s="115" t="str">
        <f>NOMINA!C22</f>
        <v>Emp 016</v>
      </c>
      <c r="D22" s="116">
        <f>+NOMINA!D22</f>
        <v>0</v>
      </c>
      <c r="E22" s="117">
        <v>30</v>
      </c>
      <c r="F22" s="118">
        <f t="shared" si="5"/>
        <v>0</v>
      </c>
      <c r="G22" s="79">
        <f t="shared" si="6"/>
        <v>0</v>
      </c>
      <c r="H22" s="80" t="e">
        <f>(G22-VLOOKUP(G22,TABLAS!$A$7:$D$14,1))*VLOOKUP(G22,TABLAS!$A$7:$D$14,4)+VLOOKUP(G22,TABLAS!$A$7:$D$14,3)</f>
        <v>#N/A</v>
      </c>
      <c r="I22" s="79" t="e">
        <f>+VLOOKUP(G22,TABLAS!#REF!,3)</f>
        <v>#REF!</v>
      </c>
      <c r="J22" s="79" t="e">
        <f t="shared" si="7"/>
        <v>#REF!</v>
      </c>
      <c r="K22" s="79" t="e">
        <f t="shared" si="8"/>
        <v>#N/A</v>
      </c>
      <c r="L22" s="81" t="e">
        <f t="shared" si="9"/>
        <v>#REF!</v>
      </c>
      <c r="M22" s="80" t="e">
        <f>+IF(K22&gt;0,(D22-G22-#REF!),D22-L22)</f>
        <v>#N/A</v>
      </c>
      <c r="N22" s="218" t="e">
        <f>'IMSS REAL'!AL22</f>
        <v>#N/A</v>
      </c>
    </row>
    <row r="23" spans="1:14" ht="12.75" customHeight="1" x14ac:dyDescent="0.25">
      <c r="A23" s="219">
        <f t="shared" si="10"/>
        <v>17</v>
      </c>
      <c r="B23" s="115" t="str">
        <f>NOMINA!B23</f>
        <v>Empleado 17</v>
      </c>
      <c r="C23" s="115" t="str">
        <f>NOMINA!C23</f>
        <v>Emp 017</v>
      </c>
      <c r="D23" s="116">
        <f>+NOMINA!D23</f>
        <v>0</v>
      </c>
      <c r="E23" s="117">
        <v>30</v>
      </c>
      <c r="F23" s="118">
        <f t="shared" ref="F23:F86" si="11">D23/E23</f>
        <v>0</v>
      </c>
      <c r="G23" s="79">
        <f t="shared" ref="G23:G86" si="12">+E23*F23</f>
        <v>0</v>
      </c>
      <c r="H23" s="80" t="e">
        <f>(G23-VLOOKUP(G23,TABLAS!$A$7:$D$14,1))*VLOOKUP(G23,TABLAS!$A$7:$D$14,4)+VLOOKUP(G23,TABLAS!$A$7:$D$14,3)</f>
        <v>#N/A</v>
      </c>
      <c r="I23" s="79" t="e">
        <f>+VLOOKUP(G23,TABLAS!#REF!,3)</f>
        <v>#REF!</v>
      </c>
      <c r="J23" s="79" t="e">
        <f t="shared" ref="J23:J86" si="13">+IF(I23&gt;H23,I23-H23,0)</f>
        <v>#REF!</v>
      </c>
      <c r="K23" s="79" t="e">
        <f t="shared" ref="K23:K86" si="14">+IF(H23&gt;I23,H23-I23,0)</f>
        <v>#N/A</v>
      </c>
      <c r="L23" s="81" t="e">
        <f t="shared" ref="L23:L86" si="15">+G23+J23-K23</f>
        <v>#REF!</v>
      </c>
      <c r="M23" s="80" t="e">
        <f>+IF(K23&gt;0,(D23-G23-#REF!),D23-L23)</f>
        <v>#N/A</v>
      </c>
      <c r="N23" s="218" t="e">
        <f>'IMSS REAL'!AL23</f>
        <v>#N/A</v>
      </c>
    </row>
    <row r="24" spans="1:14" ht="12.75" customHeight="1" x14ac:dyDescent="0.25">
      <c r="A24" s="219">
        <f t="shared" si="10"/>
        <v>18</v>
      </c>
      <c r="B24" s="115" t="str">
        <f>NOMINA!B24</f>
        <v>Empleado 18</v>
      </c>
      <c r="C24" s="115" t="str">
        <f>NOMINA!C24</f>
        <v>Emp 018</v>
      </c>
      <c r="D24" s="116">
        <f>+NOMINA!D24</f>
        <v>0</v>
      </c>
      <c r="E24" s="117">
        <v>30</v>
      </c>
      <c r="F24" s="118">
        <f t="shared" si="11"/>
        <v>0</v>
      </c>
      <c r="G24" s="79">
        <f t="shared" si="12"/>
        <v>0</v>
      </c>
      <c r="H24" s="80" t="e">
        <f>(G24-VLOOKUP(G24,TABLAS!$A$7:$D$14,1))*VLOOKUP(G24,TABLAS!$A$7:$D$14,4)+VLOOKUP(G24,TABLAS!$A$7:$D$14,3)</f>
        <v>#N/A</v>
      </c>
      <c r="I24" s="79" t="e">
        <f>+VLOOKUP(G24,TABLAS!#REF!,3)</f>
        <v>#REF!</v>
      </c>
      <c r="J24" s="79" t="e">
        <f t="shared" si="13"/>
        <v>#REF!</v>
      </c>
      <c r="K24" s="79" t="e">
        <f t="shared" si="14"/>
        <v>#N/A</v>
      </c>
      <c r="L24" s="81" t="e">
        <f t="shared" si="15"/>
        <v>#REF!</v>
      </c>
      <c r="M24" s="80" t="e">
        <f>+IF(K24&gt;0,(D24-G24-#REF!),D24-L24)</f>
        <v>#N/A</v>
      </c>
      <c r="N24" s="218" t="e">
        <f>'IMSS REAL'!AL24</f>
        <v>#N/A</v>
      </c>
    </row>
    <row r="25" spans="1:14" ht="12.75" customHeight="1" x14ac:dyDescent="0.25">
      <c r="A25" s="219">
        <f t="shared" si="10"/>
        <v>19</v>
      </c>
      <c r="B25" s="115" t="str">
        <f>NOMINA!B25</f>
        <v>Empleado 19</v>
      </c>
      <c r="C25" s="115" t="str">
        <f>NOMINA!C25</f>
        <v>Emp 019</v>
      </c>
      <c r="D25" s="116">
        <f>+NOMINA!D25</f>
        <v>0</v>
      </c>
      <c r="E25" s="117">
        <v>30</v>
      </c>
      <c r="F25" s="118">
        <f t="shared" si="11"/>
        <v>0</v>
      </c>
      <c r="G25" s="79">
        <f t="shared" si="12"/>
        <v>0</v>
      </c>
      <c r="H25" s="80" t="e">
        <f>(G25-VLOOKUP(G25,TABLAS!$A$7:$D$14,1))*VLOOKUP(G25,TABLAS!$A$7:$D$14,4)+VLOOKUP(G25,TABLAS!$A$7:$D$14,3)</f>
        <v>#N/A</v>
      </c>
      <c r="I25" s="79" t="e">
        <f>+VLOOKUP(G25,TABLAS!#REF!,3)</f>
        <v>#REF!</v>
      </c>
      <c r="J25" s="79" t="e">
        <f t="shared" si="13"/>
        <v>#REF!</v>
      </c>
      <c r="K25" s="79" t="e">
        <f t="shared" si="14"/>
        <v>#N/A</v>
      </c>
      <c r="L25" s="81" t="e">
        <f t="shared" si="15"/>
        <v>#REF!</v>
      </c>
      <c r="M25" s="80" t="e">
        <f>+IF(K25&gt;0,(D25-G25-#REF!),D25-L25)</f>
        <v>#N/A</v>
      </c>
      <c r="N25" s="218" t="e">
        <f>'IMSS REAL'!AL25</f>
        <v>#N/A</v>
      </c>
    </row>
    <row r="26" spans="1:14" ht="12.75" customHeight="1" x14ac:dyDescent="0.25">
      <c r="A26" s="219">
        <f t="shared" si="10"/>
        <v>20</v>
      </c>
      <c r="B26" s="115" t="str">
        <f>NOMINA!B26</f>
        <v>Empleado 20</v>
      </c>
      <c r="C26" s="115" t="str">
        <f>NOMINA!C26</f>
        <v>Emp 020</v>
      </c>
      <c r="D26" s="116">
        <f>+NOMINA!D26</f>
        <v>0</v>
      </c>
      <c r="E26" s="117">
        <v>30</v>
      </c>
      <c r="F26" s="118">
        <f t="shared" si="11"/>
        <v>0</v>
      </c>
      <c r="G26" s="79">
        <f t="shared" si="12"/>
        <v>0</v>
      </c>
      <c r="H26" s="80" t="e">
        <f>(G26-VLOOKUP(G26,TABLAS!$A$7:$D$14,1))*VLOOKUP(G26,TABLAS!$A$7:$D$14,4)+VLOOKUP(G26,TABLAS!$A$7:$D$14,3)</f>
        <v>#N/A</v>
      </c>
      <c r="I26" s="79" t="e">
        <f>+VLOOKUP(G26,TABLAS!#REF!,3)</f>
        <v>#REF!</v>
      </c>
      <c r="J26" s="79" t="e">
        <f t="shared" si="13"/>
        <v>#REF!</v>
      </c>
      <c r="K26" s="79" t="e">
        <f t="shared" si="14"/>
        <v>#N/A</v>
      </c>
      <c r="L26" s="81" t="e">
        <f t="shared" si="15"/>
        <v>#REF!</v>
      </c>
      <c r="M26" s="80" t="e">
        <f>+IF(K26&gt;0,(D26-G26-#REF!),D26-L26)</f>
        <v>#N/A</v>
      </c>
      <c r="N26" s="218" t="e">
        <f>'IMSS REAL'!AL26</f>
        <v>#N/A</v>
      </c>
    </row>
    <row r="27" spans="1:14" ht="12.75" customHeight="1" x14ac:dyDescent="0.25">
      <c r="A27" s="219">
        <f t="shared" si="10"/>
        <v>21</v>
      </c>
      <c r="B27" s="115" t="str">
        <f>NOMINA!B27</f>
        <v>Empleado 21</v>
      </c>
      <c r="C27" s="115" t="str">
        <f>NOMINA!C27</f>
        <v>Emp 021</v>
      </c>
      <c r="D27" s="116">
        <f>+NOMINA!D27</f>
        <v>0</v>
      </c>
      <c r="E27" s="117">
        <v>30</v>
      </c>
      <c r="F27" s="118">
        <f t="shared" si="11"/>
        <v>0</v>
      </c>
      <c r="G27" s="79">
        <f t="shared" si="12"/>
        <v>0</v>
      </c>
      <c r="H27" s="80" t="e">
        <f>(G27-VLOOKUP(G27,TABLAS!$A$7:$D$14,1))*VLOOKUP(G27,TABLAS!$A$7:$D$14,4)+VLOOKUP(G27,TABLAS!$A$7:$D$14,3)</f>
        <v>#N/A</v>
      </c>
      <c r="I27" s="79" t="e">
        <f>+VLOOKUP(G27,TABLAS!#REF!,3)</f>
        <v>#REF!</v>
      </c>
      <c r="J27" s="79" t="e">
        <f t="shared" si="13"/>
        <v>#REF!</v>
      </c>
      <c r="K27" s="79" t="e">
        <f t="shared" si="14"/>
        <v>#N/A</v>
      </c>
      <c r="L27" s="81" t="e">
        <f t="shared" si="15"/>
        <v>#REF!</v>
      </c>
      <c r="M27" s="80" t="e">
        <f>+IF(K27&gt;0,(D27-G27-#REF!),D27-L27)</f>
        <v>#N/A</v>
      </c>
      <c r="N27" s="218" t="e">
        <f>'IMSS REAL'!AL27</f>
        <v>#N/A</v>
      </c>
    </row>
    <row r="28" spans="1:14" ht="12.75" customHeight="1" x14ac:dyDescent="0.25">
      <c r="A28" s="219">
        <f t="shared" si="10"/>
        <v>22</v>
      </c>
      <c r="B28" s="115" t="str">
        <f>NOMINA!B28</f>
        <v>Empleado 22</v>
      </c>
      <c r="C28" s="115" t="str">
        <f>NOMINA!C28</f>
        <v>Emp 022</v>
      </c>
      <c r="D28" s="116">
        <f>+NOMINA!D28</f>
        <v>0</v>
      </c>
      <c r="E28" s="117">
        <v>30</v>
      </c>
      <c r="F28" s="118">
        <f t="shared" si="11"/>
        <v>0</v>
      </c>
      <c r="G28" s="79">
        <f t="shared" si="12"/>
        <v>0</v>
      </c>
      <c r="H28" s="80" t="e">
        <f>(G28-VLOOKUP(G28,TABLAS!$A$7:$D$14,1))*VLOOKUP(G28,TABLAS!$A$7:$D$14,4)+VLOOKUP(G28,TABLAS!$A$7:$D$14,3)</f>
        <v>#N/A</v>
      </c>
      <c r="I28" s="79" t="e">
        <f>+VLOOKUP(G28,TABLAS!#REF!,3)</f>
        <v>#REF!</v>
      </c>
      <c r="J28" s="79" t="e">
        <f t="shared" si="13"/>
        <v>#REF!</v>
      </c>
      <c r="K28" s="79" t="e">
        <f t="shared" si="14"/>
        <v>#N/A</v>
      </c>
      <c r="L28" s="81" t="e">
        <f t="shared" si="15"/>
        <v>#REF!</v>
      </c>
      <c r="M28" s="80" t="e">
        <f>+IF(K28&gt;0,(D28-G28-#REF!),D28-L28)</f>
        <v>#N/A</v>
      </c>
      <c r="N28" s="218" t="e">
        <f>'IMSS REAL'!AL28</f>
        <v>#N/A</v>
      </c>
    </row>
    <row r="29" spans="1:14" ht="12.75" customHeight="1" x14ac:dyDescent="0.25">
      <c r="A29" s="219">
        <f t="shared" si="10"/>
        <v>23</v>
      </c>
      <c r="B29" s="115" t="str">
        <f>NOMINA!B29</f>
        <v>Empleado 23</v>
      </c>
      <c r="C29" s="115" t="str">
        <f>NOMINA!C29</f>
        <v>Emp 023</v>
      </c>
      <c r="D29" s="116">
        <f>+NOMINA!D29</f>
        <v>0</v>
      </c>
      <c r="E29" s="117">
        <v>30</v>
      </c>
      <c r="F29" s="118">
        <f t="shared" si="11"/>
        <v>0</v>
      </c>
      <c r="G29" s="79">
        <f t="shared" si="12"/>
        <v>0</v>
      </c>
      <c r="H29" s="80" t="e">
        <f>(G29-VLOOKUP(G29,TABLAS!$A$7:$D$14,1))*VLOOKUP(G29,TABLAS!$A$7:$D$14,4)+VLOOKUP(G29,TABLAS!$A$7:$D$14,3)</f>
        <v>#N/A</v>
      </c>
      <c r="I29" s="79" t="e">
        <f>+VLOOKUP(G29,TABLAS!#REF!,3)</f>
        <v>#REF!</v>
      </c>
      <c r="J29" s="79" t="e">
        <f t="shared" si="13"/>
        <v>#REF!</v>
      </c>
      <c r="K29" s="79" t="e">
        <f t="shared" si="14"/>
        <v>#N/A</v>
      </c>
      <c r="L29" s="81" t="e">
        <f t="shared" si="15"/>
        <v>#REF!</v>
      </c>
      <c r="M29" s="80" t="e">
        <f>+IF(K29&gt;0,(D29-G29-#REF!),D29-L29)</f>
        <v>#N/A</v>
      </c>
      <c r="N29" s="218" t="e">
        <f>'IMSS REAL'!AL29</f>
        <v>#N/A</v>
      </c>
    </row>
    <row r="30" spans="1:14" ht="12.75" customHeight="1" x14ac:dyDescent="0.25">
      <c r="A30" s="219">
        <f t="shared" si="10"/>
        <v>24</v>
      </c>
      <c r="B30" s="115" t="str">
        <f>NOMINA!B30</f>
        <v>Empleado 24</v>
      </c>
      <c r="C30" s="115" t="str">
        <f>NOMINA!C30</f>
        <v>Emp 024</v>
      </c>
      <c r="D30" s="116">
        <f>+NOMINA!D30</f>
        <v>0</v>
      </c>
      <c r="E30" s="117">
        <v>30</v>
      </c>
      <c r="F30" s="118">
        <f t="shared" si="11"/>
        <v>0</v>
      </c>
      <c r="G30" s="79">
        <f t="shared" si="12"/>
        <v>0</v>
      </c>
      <c r="H30" s="80" t="e">
        <f>(G30-VLOOKUP(G30,TABLAS!$A$7:$D$14,1))*VLOOKUP(G30,TABLAS!$A$7:$D$14,4)+VLOOKUP(G30,TABLAS!$A$7:$D$14,3)</f>
        <v>#N/A</v>
      </c>
      <c r="I30" s="79" t="e">
        <f>+VLOOKUP(G30,TABLAS!#REF!,3)</f>
        <v>#REF!</v>
      </c>
      <c r="J30" s="79" t="e">
        <f t="shared" si="13"/>
        <v>#REF!</v>
      </c>
      <c r="K30" s="79" t="e">
        <f t="shared" si="14"/>
        <v>#N/A</v>
      </c>
      <c r="L30" s="81" t="e">
        <f t="shared" si="15"/>
        <v>#REF!</v>
      </c>
      <c r="M30" s="80" t="e">
        <f>+IF(K30&gt;0,(D30-G30-#REF!),D30-L30)</f>
        <v>#N/A</v>
      </c>
      <c r="N30" s="218" t="e">
        <f>'IMSS REAL'!AL30</f>
        <v>#N/A</v>
      </c>
    </row>
    <row r="31" spans="1:14" ht="12.75" customHeight="1" x14ac:dyDescent="0.25">
      <c r="A31" s="219">
        <f t="shared" si="10"/>
        <v>25</v>
      </c>
      <c r="B31" s="115" t="str">
        <f>NOMINA!B31</f>
        <v>Empleado 25</v>
      </c>
      <c r="C31" s="115" t="str">
        <f>NOMINA!C31</f>
        <v>Emp 025</v>
      </c>
      <c r="D31" s="116">
        <f>+NOMINA!D31</f>
        <v>0</v>
      </c>
      <c r="E31" s="117">
        <v>30</v>
      </c>
      <c r="F31" s="118">
        <f t="shared" si="11"/>
        <v>0</v>
      </c>
      <c r="G31" s="79">
        <f t="shared" si="12"/>
        <v>0</v>
      </c>
      <c r="H31" s="80" t="e">
        <f>(G31-VLOOKUP(G31,TABLAS!$A$7:$D$14,1))*VLOOKUP(G31,TABLAS!$A$7:$D$14,4)+VLOOKUP(G31,TABLAS!$A$7:$D$14,3)</f>
        <v>#N/A</v>
      </c>
      <c r="I31" s="79" t="e">
        <f>+VLOOKUP(G31,TABLAS!#REF!,3)</f>
        <v>#REF!</v>
      </c>
      <c r="J31" s="79" t="e">
        <f t="shared" si="13"/>
        <v>#REF!</v>
      </c>
      <c r="K31" s="79" t="e">
        <f t="shared" si="14"/>
        <v>#N/A</v>
      </c>
      <c r="L31" s="81" t="e">
        <f t="shared" si="15"/>
        <v>#REF!</v>
      </c>
      <c r="M31" s="80" t="e">
        <f>+IF(K31&gt;0,(D31-G31-#REF!),D31-L31)</f>
        <v>#N/A</v>
      </c>
      <c r="N31" s="218" t="e">
        <f>'IMSS REAL'!AL31</f>
        <v>#N/A</v>
      </c>
    </row>
    <row r="32" spans="1:14" ht="12.75" customHeight="1" x14ac:dyDescent="0.25">
      <c r="A32" s="219">
        <f t="shared" si="10"/>
        <v>26</v>
      </c>
      <c r="B32" s="115" t="str">
        <f>NOMINA!B32</f>
        <v>Empleado 26</v>
      </c>
      <c r="C32" s="115" t="str">
        <f>NOMINA!C32</f>
        <v>Emp 026</v>
      </c>
      <c r="D32" s="116">
        <f>+NOMINA!D32</f>
        <v>0</v>
      </c>
      <c r="E32" s="117">
        <v>30</v>
      </c>
      <c r="F32" s="118">
        <f t="shared" si="11"/>
        <v>0</v>
      </c>
      <c r="G32" s="79">
        <f t="shared" si="12"/>
        <v>0</v>
      </c>
      <c r="H32" s="80" t="e">
        <f>(G32-VLOOKUP(G32,TABLAS!$A$7:$D$14,1))*VLOOKUP(G32,TABLAS!$A$7:$D$14,4)+VLOOKUP(G32,TABLAS!$A$7:$D$14,3)</f>
        <v>#N/A</v>
      </c>
      <c r="I32" s="79" t="e">
        <f>+VLOOKUP(G32,TABLAS!#REF!,3)</f>
        <v>#REF!</v>
      </c>
      <c r="J32" s="79" t="e">
        <f t="shared" si="13"/>
        <v>#REF!</v>
      </c>
      <c r="K32" s="79" t="e">
        <f t="shared" si="14"/>
        <v>#N/A</v>
      </c>
      <c r="L32" s="81" t="e">
        <f t="shared" si="15"/>
        <v>#REF!</v>
      </c>
      <c r="M32" s="80" t="e">
        <f>+IF(K32&gt;0,(D32-G32-#REF!),D32-L32)</f>
        <v>#N/A</v>
      </c>
      <c r="N32" s="218" t="e">
        <f>'IMSS REAL'!AL32</f>
        <v>#N/A</v>
      </c>
    </row>
    <row r="33" spans="1:14" ht="12.75" customHeight="1" x14ac:dyDescent="0.25">
      <c r="A33" s="219">
        <f t="shared" si="10"/>
        <v>27</v>
      </c>
      <c r="B33" s="115" t="str">
        <f>NOMINA!B33</f>
        <v>Empleado 27</v>
      </c>
      <c r="C33" s="115" t="str">
        <f>NOMINA!C33</f>
        <v>Emp 027</v>
      </c>
      <c r="D33" s="116">
        <f>+NOMINA!D33</f>
        <v>0</v>
      </c>
      <c r="E33" s="117">
        <v>30</v>
      </c>
      <c r="F33" s="118">
        <f t="shared" si="11"/>
        <v>0</v>
      </c>
      <c r="G33" s="79">
        <f t="shared" si="12"/>
        <v>0</v>
      </c>
      <c r="H33" s="80" t="e">
        <f>(G33-VLOOKUP(G33,TABLAS!$A$7:$D$14,1))*VLOOKUP(G33,TABLAS!$A$7:$D$14,4)+VLOOKUP(G33,TABLAS!$A$7:$D$14,3)</f>
        <v>#N/A</v>
      </c>
      <c r="I33" s="79" t="e">
        <f>+VLOOKUP(G33,TABLAS!#REF!,3)</f>
        <v>#REF!</v>
      </c>
      <c r="J33" s="79" t="e">
        <f t="shared" si="13"/>
        <v>#REF!</v>
      </c>
      <c r="K33" s="79" t="e">
        <f t="shared" si="14"/>
        <v>#N/A</v>
      </c>
      <c r="L33" s="81" t="e">
        <f t="shared" si="15"/>
        <v>#REF!</v>
      </c>
      <c r="M33" s="80" t="e">
        <f>+IF(K33&gt;0,(D33-G33-#REF!),D33-L33)</f>
        <v>#N/A</v>
      </c>
      <c r="N33" s="218" t="e">
        <f>'IMSS REAL'!AL33</f>
        <v>#N/A</v>
      </c>
    </row>
    <row r="34" spans="1:14" ht="12.75" customHeight="1" x14ac:dyDescent="0.25">
      <c r="A34" s="219">
        <f t="shared" si="10"/>
        <v>28</v>
      </c>
      <c r="B34" s="115" t="str">
        <f>NOMINA!B34</f>
        <v>Empleado 28</v>
      </c>
      <c r="C34" s="115" t="str">
        <f>NOMINA!C34</f>
        <v>Emp 028</v>
      </c>
      <c r="D34" s="116">
        <f>+NOMINA!D34</f>
        <v>0</v>
      </c>
      <c r="E34" s="117">
        <v>30</v>
      </c>
      <c r="F34" s="118">
        <f t="shared" si="11"/>
        <v>0</v>
      </c>
      <c r="G34" s="79">
        <f t="shared" si="12"/>
        <v>0</v>
      </c>
      <c r="H34" s="80" t="e">
        <f>(G34-VLOOKUP(G34,TABLAS!$A$7:$D$14,1))*VLOOKUP(G34,TABLAS!$A$7:$D$14,4)+VLOOKUP(G34,TABLAS!$A$7:$D$14,3)</f>
        <v>#N/A</v>
      </c>
      <c r="I34" s="79" t="e">
        <f>+VLOOKUP(G34,TABLAS!#REF!,3)</f>
        <v>#REF!</v>
      </c>
      <c r="J34" s="79" t="e">
        <f t="shared" si="13"/>
        <v>#REF!</v>
      </c>
      <c r="K34" s="79" t="e">
        <f t="shared" si="14"/>
        <v>#N/A</v>
      </c>
      <c r="L34" s="81" t="e">
        <f t="shared" si="15"/>
        <v>#REF!</v>
      </c>
      <c r="M34" s="80" t="e">
        <f>+IF(K34&gt;0,(D34-G34-#REF!),D34-L34)</f>
        <v>#N/A</v>
      </c>
      <c r="N34" s="218" t="e">
        <f>'IMSS REAL'!AL34</f>
        <v>#N/A</v>
      </c>
    </row>
    <row r="35" spans="1:14" ht="12.75" customHeight="1" x14ac:dyDescent="0.25">
      <c r="A35" s="219">
        <f t="shared" si="10"/>
        <v>29</v>
      </c>
      <c r="B35" s="115" t="str">
        <f>NOMINA!B35</f>
        <v>Empleado 29</v>
      </c>
      <c r="C35" s="115" t="str">
        <f>NOMINA!C35</f>
        <v>Emp 029</v>
      </c>
      <c r="D35" s="116">
        <f>+NOMINA!D35</f>
        <v>0</v>
      </c>
      <c r="E35" s="117">
        <v>30</v>
      </c>
      <c r="F35" s="118">
        <f t="shared" si="11"/>
        <v>0</v>
      </c>
      <c r="G35" s="79">
        <f t="shared" si="12"/>
        <v>0</v>
      </c>
      <c r="H35" s="80" t="e">
        <f>(G35-VLOOKUP(G35,TABLAS!$A$7:$D$14,1))*VLOOKUP(G35,TABLAS!$A$7:$D$14,4)+VLOOKUP(G35,TABLAS!$A$7:$D$14,3)</f>
        <v>#N/A</v>
      </c>
      <c r="I35" s="79" t="e">
        <f>+VLOOKUP(G35,TABLAS!#REF!,3)</f>
        <v>#REF!</v>
      </c>
      <c r="J35" s="79" t="e">
        <f t="shared" si="13"/>
        <v>#REF!</v>
      </c>
      <c r="K35" s="79" t="e">
        <f t="shared" si="14"/>
        <v>#N/A</v>
      </c>
      <c r="L35" s="81" t="e">
        <f t="shared" si="15"/>
        <v>#REF!</v>
      </c>
      <c r="M35" s="80" t="e">
        <f>+IF(K35&gt;0,(D35-G35-#REF!),D35-L35)</f>
        <v>#N/A</v>
      </c>
      <c r="N35" s="218" t="e">
        <f>'IMSS REAL'!AL35</f>
        <v>#N/A</v>
      </c>
    </row>
    <row r="36" spans="1:14" ht="12.75" customHeight="1" x14ac:dyDescent="0.25">
      <c r="A36" s="219">
        <f t="shared" si="10"/>
        <v>30</v>
      </c>
      <c r="B36" s="115" t="str">
        <f>NOMINA!B36</f>
        <v>Empleado 30</v>
      </c>
      <c r="C36" s="115" t="str">
        <f>NOMINA!C36</f>
        <v>Emp 030</v>
      </c>
      <c r="D36" s="116">
        <f>+NOMINA!D36</f>
        <v>0</v>
      </c>
      <c r="E36" s="117">
        <v>30</v>
      </c>
      <c r="F36" s="118">
        <f t="shared" si="11"/>
        <v>0</v>
      </c>
      <c r="G36" s="79">
        <f t="shared" si="12"/>
        <v>0</v>
      </c>
      <c r="H36" s="80" t="e">
        <f>(G36-VLOOKUP(G36,TABLAS!$A$7:$D$14,1))*VLOOKUP(G36,TABLAS!$A$7:$D$14,4)+VLOOKUP(G36,TABLAS!$A$7:$D$14,3)</f>
        <v>#N/A</v>
      </c>
      <c r="I36" s="79" t="e">
        <f>+VLOOKUP(G36,TABLAS!#REF!,3)</f>
        <v>#REF!</v>
      </c>
      <c r="J36" s="79" t="e">
        <f t="shared" si="13"/>
        <v>#REF!</v>
      </c>
      <c r="K36" s="79" t="e">
        <f t="shared" si="14"/>
        <v>#N/A</v>
      </c>
      <c r="L36" s="81" t="e">
        <f t="shared" si="15"/>
        <v>#REF!</v>
      </c>
      <c r="M36" s="80" t="e">
        <f>+IF(K36&gt;0,(D36-G36-#REF!),D36-L36)</f>
        <v>#N/A</v>
      </c>
      <c r="N36" s="218" t="e">
        <f>'IMSS REAL'!AL36</f>
        <v>#N/A</v>
      </c>
    </row>
    <row r="37" spans="1:14" ht="12.75" customHeight="1" x14ac:dyDescent="0.25">
      <c r="A37" s="219">
        <f t="shared" si="10"/>
        <v>31</v>
      </c>
      <c r="B37" s="115" t="str">
        <f>NOMINA!B37</f>
        <v>Empleado 31</v>
      </c>
      <c r="C37" s="115" t="str">
        <f>NOMINA!C37</f>
        <v>Emp 031</v>
      </c>
      <c r="D37" s="116">
        <f>+NOMINA!D37</f>
        <v>0</v>
      </c>
      <c r="E37" s="117">
        <v>30</v>
      </c>
      <c r="F37" s="118">
        <f t="shared" si="11"/>
        <v>0</v>
      </c>
      <c r="G37" s="79">
        <f t="shared" si="12"/>
        <v>0</v>
      </c>
      <c r="H37" s="80" t="e">
        <f>(G37-VLOOKUP(G37,TABLAS!$A$7:$D$14,1))*VLOOKUP(G37,TABLAS!$A$7:$D$14,4)+VLOOKUP(G37,TABLAS!$A$7:$D$14,3)</f>
        <v>#N/A</v>
      </c>
      <c r="I37" s="79" t="e">
        <f>+VLOOKUP(G37,TABLAS!#REF!,3)</f>
        <v>#REF!</v>
      </c>
      <c r="J37" s="79" t="e">
        <f t="shared" si="13"/>
        <v>#REF!</v>
      </c>
      <c r="K37" s="79" t="e">
        <f t="shared" si="14"/>
        <v>#N/A</v>
      </c>
      <c r="L37" s="81" t="e">
        <f t="shared" si="15"/>
        <v>#REF!</v>
      </c>
      <c r="M37" s="80" t="e">
        <f>+IF(K37&gt;0,(D37-G37-#REF!),D37-L37)</f>
        <v>#N/A</v>
      </c>
      <c r="N37" s="218" t="e">
        <f>'IMSS REAL'!AL37</f>
        <v>#N/A</v>
      </c>
    </row>
    <row r="38" spans="1:14" ht="12.75" customHeight="1" x14ac:dyDescent="0.25">
      <c r="A38" s="219">
        <f t="shared" si="10"/>
        <v>32</v>
      </c>
      <c r="B38" s="115" t="str">
        <f>NOMINA!B38</f>
        <v>Empleado 32</v>
      </c>
      <c r="C38" s="115" t="str">
        <f>NOMINA!C38</f>
        <v>Emp 032</v>
      </c>
      <c r="D38" s="116">
        <f>+NOMINA!D38</f>
        <v>0</v>
      </c>
      <c r="E38" s="117">
        <v>30</v>
      </c>
      <c r="F38" s="118">
        <f t="shared" si="11"/>
        <v>0</v>
      </c>
      <c r="G38" s="79">
        <f t="shared" si="12"/>
        <v>0</v>
      </c>
      <c r="H38" s="80" t="e">
        <f>(G38-VLOOKUP(G38,TABLAS!$A$7:$D$14,1))*VLOOKUP(G38,TABLAS!$A$7:$D$14,4)+VLOOKUP(G38,TABLAS!$A$7:$D$14,3)</f>
        <v>#N/A</v>
      </c>
      <c r="I38" s="79" t="e">
        <f>+VLOOKUP(G38,TABLAS!#REF!,3)</f>
        <v>#REF!</v>
      </c>
      <c r="J38" s="79" t="e">
        <f t="shared" si="13"/>
        <v>#REF!</v>
      </c>
      <c r="K38" s="79" t="e">
        <f t="shared" si="14"/>
        <v>#N/A</v>
      </c>
      <c r="L38" s="81" t="e">
        <f t="shared" si="15"/>
        <v>#REF!</v>
      </c>
      <c r="M38" s="80" t="e">
        <f>+IF(K38&gt;0,(D38-G38-#REF!),D38-L38)</f>
        <v>#N/A</v>
      </c>
      <c r="N38" s="218" t="e">
        <f>'IMSS REAL'!AL38</f>
        <v>#N/A</v>
      </c>
    </row>
    <row r="39" spans="1:14" ht="12.75" customHeight="1" x14ac:dyDescent="0.25">
      <c r="A39" s="219">
        <f t="shared" si="10"/>
        <v>33</v>
      </c>
      <c r="B39" s="115" t="str">
        <f>NOMINA!B39</f>
        <v>Empleado 33</v>
      </c>
      <c r="C39" s="115" t="str">
        <f>NOMINA!C39</f>
        <v>Emp 033</v>
      </c>
      <c r="D39" s="116">
        <f>+NOMINA!D39</f>
        <v>0</v>
      </c>
      <c r="E39" s="117">
        <v>30</v>
      </c>
      <c r="F39" s="118">
        <f t="shared" si="11"/>
        <v>0</v>
      </c>
      <c r="G39" s="79">
        <f t="shared" si="12"/>
        <v>0</v>
      </c>
      <c r="H39" s="80" t="e">
        <f>(G39-VLOOKUP(G39,TABLAS!$A$7:$D$14,1))*VLOOKUP(G39,TABLAS!$A$7:$D$14,4)+VLOOKUP(G39,TABLAS!$A$7:$D$14,3)</f>
        <v>#N/A</v>
      </c>
      <c r="I39" s="79" t="e">
        <f>+VLOOKUP(G39,TABLAS!#REF!,3)</f>
        <v>#REF!</v>
      </c>
      <c r="J39" s="79" t="e">
        <f t="shared" si="13"/>
        <v>#REF!</v>
      </c>
      <c r="K39" s="79" t="e">
        <f t="shared" si="14"/>
        <v>#N/A</v>
      </c>
      <c r="L39" s="81" t="e">
        <f t="shared" si="15"/>
        <v>#REF!</v>
      </c>
      <c r="M39" s="80" t="e">
        <f>+IF(K39&gt;0,(D39-G39-#REF!),D39-L39)</f>
        <v>#N/A</v>
      </c>
      <c r="N39" s="218" t="e">
        <f>'IMSS REAL'!AL39</f>
        <v>#N/A</v>
      </c>
    </row>
    <row r="40" spans="1:14" ht="12.75" customHeight="1" x14ac:dyDescent="0.25">
      <c r="A40" s="219">
        <f t="shared" si="10"/>
        <v>34</v>
      </c>
      <c r="B40" s="115" t="str">
        <f>NOMINA!B40</f>
        <v>Empleado 34</v>
      </c>
      <c r="C40" s="115" t="str">
        <f>NOMINA!C40</f>
        <v>Emp 034</v>
      </c>
      <c r="D40" s="116">
        <f>+NOMINA!D40</f>
        <v>0</v>
      </c>
      <c r="E40" s="117">
        <v>30</v>
      </c>
      <c r="F40" s="118">
        <f t="shared" si="11"/>
        <v>0</v>
      </c>
      <c r="G40" s="79">
        <f t="shared" si="12"/>
        <v>0</v>
      </c>
      <c r="H40" s="80" t="e">
        <f>(G40-VLOOKUP(G40,TABLAS!$A$7:$D$14,1))*VLOOKUP(G40,TABLAS!$A$7:$D$14,4)+VLOOKUP(G40,TABLAS!$A$7:$D$14,3)</f>
        <v>#N/A</v>
      </c>
      <c r="I40" s="79" t="e">
        <f>+VLOOKUP(G40,TABLAS!#REF!,3)</f>
        <v>#REF!</v>
      </c>
      <c r="J40" s="79" t="e">
        <f t="shared" si="13"/>
        <v>#REF!</v>
      </c>
      <c r="K40" s="79" t="e">
        <f t="shared" si="14"/>
        <v>#N/A</v>
      </c>
      <c r="L40" s="81" t="e">
        <f t="shared" si="15"/>
        <v>#REF!</v>
      </c>
      <c r="M40" s="80" t="e">
        <f>+IF(K40&gt;0,(D40-G40-#REF!),D40-L40)</f>
        <v>#N/A</v>
      </c>
      <c r="N40" s="218" t="e">
        <f>'IMSS REAL'!AL40</f>
        <v>#N/A</v>
      </c>
    </row>
    <row r="41" spans="1:14" ht="12.75" customHeight="1" x14ac:dyDescent="0.25">
      <c r="A41" s="219">
        <f t="shared" si="10"/>
        <v>35</v>
      </c>
      <c r="B41" s="115" t="str">
        <f>NOMINA!B41</f>
        <v>Empleado 35</v>
      </c>
      <c r="C41" s="115" t="str">
        <f>NOMINA!C41</f>
        <v>Emp 035</v>
      </c>
      <c r="D41" s="116">
        <f>+NOMINA!D41</f>
        <v>0</v>
      </c>
      <c r="E41" s="117">
        <v>30</v>
      </c>
      <c r="F41" s="118">
        <f t="shared" si="11"/>
        <v>0</v>
      </c>
      <c r="G41" s="79">
        <f t="shared" si="12"/>
        <v>0</v>
      </c>
      <c r="H41" s="80" t="e">
        <f>(G41-VLOOKUP(G41,TABLAS!$A$7:$D$14,1))*VLOOKUP(G41,TABLAS!$A$7:$D$14,4)+VLOOKUP(G41,TABLAS!$A$7:$D$14,3)</f>
        <v>#N/A</v>
      </c>
      <c r="I41" s="79" t="e">
        <f>+VLOOKUP(G41,TABLAS!#REF!,3)</f>
        <v>#REF!</v>
      </c>
      <c r="J41" s="79" t="e">
        <f t="shared" si="13"/>
        <v>#REF!</v>
      </c>
      <c r="K41" s="79" t="e">
        <f t="shared" si="14"/>
        <v>#N/A</v>
      </c>
      <c r="L41" s="81" t="e">
        <f t="shared" si="15"/>
        <v>#REF!</v>
      </c>
      <c r="M41" s="80" t="e">
        <f>+IF(K41&gt;0,(D41-G41-#REF!),D41-L41)</f>
        <v>#N/A</v>
      </c>
      <c r="N41" s="218" t="e">
        <f>'IMSS REAL'!AL41</f>
        <v>#N/A</v>
      </c>
    </row>
    <row r="42" spans="1:14" ht="12.75" customHeight="1" x14ac:dyDescent="0.25">
      <c r="A42" s="219">
        <f t="shared" si="10"/>
        <v>36</v>
      </c>
      <c r="B42" s="115" t="str">
        <f>NOMINA!B42</f>
        <v>Empleado 36</v>
      </c>
      <c r="C42" s="115" t="str">
        <f>NOMINA!C42</f>
        <v>Emp 036</v>
      </c>
      <c r="D42" s="116">
        <f>+NOMINA!D42</f>
        <v>0</v>
      </c>
      <c r="E42" s="117">
        <v>30</v>
      </c>
      <c r="F42" s="118">
        <f t="shared" si="11"/>
        <v>0</v>
      </c>
      <c r="G42" s="79">
        <f t="shared" si="12"/>
        <v>0</v>
      </c>
      <c r="H42" s="80" t="e">
        <f>(G42-VLOOKUP(G42,TABLAS!$A$7:$D$14,1))*VLOOKUP(G42,TABLAS!$A$7:$D$14,4)+VLOOKUP(G42,TABLAS!$A$7:$D$14,3)</f>
        <v>#N/A</v>
      </c>
      <c r="I42" s="79" t="e">
        <f>+VLOOKUP(G42,TABLAS!#REF!,3)</f>
        <v>#REF!</v>
      </c>
      <c r="J42" s="79" t="e">
        <f t="shared" si="13"/>
        <v>#REF!</v>
      </c>
      <c r="K42" s="79" t="e">
        <f t="shared" si="14"/>
        <v>#N/A</v>
      </c>
      <c r="L42" s="81" t="e">
        <f t="shared" si="15"/>
        <v>#REF!</v>
      </c>
      <c r="M42" s="80" t="e">
        <f>+IF(K42&gt;0,(D42-G42-#REF!),D42-L42)</f>
        <v>#N/A</v>
      </c>
      <c r="N42" s="218" t="e">
        <f>'IMSS REAL'!AL42</f>
        <v>#N/A</v>
      </c>
    </row>
    <row r="43" spans="1:14" ht="12.75" customHeight="1" x14ac:dyDescent="0.25">
      <c r="A43" s="219">
        <f t="shared" si="10"/>
        <v>37</v>
      </c>
      <c r="B43" s="115" t="str">
        <f>NOMINA!B43</f>
        <v>Empleado 37</v>
      </c>
      <c r="C43" s="115" t="str">
        <f>NOMINA!C43</f>
        <v>Emp 037</v>
      </c>
      <c r="D43" s="116">
        <f>+NOMINA!D43</f>
        <v>0</v>
      </c>
      <c r="E43" s="117">
        <v>30</v>
      </c>
      <c r="F43" s="118">
        <f t="shared" si="11"/>
        <v>0</v>
      </c>
      <c r="G43" s="79">
        <f t="shared" si="12"/>
        <v>0</v>
      </c>
      <c r="H43" s="80" t="e">
        <f>(G43-VLOOKUP(G43,TABLAS!$A$7:$D$14,1))*VLOOKUP(G43,TABLAS!$A$7:$D$14,4)+VLOOKUP(G43,TABLAS!$A$7:$D$14,3)</f>
        <v>#N/A</v>
      </c>
      <c r="I43" s="79" t="e">
        <f>+VLOOKUP(G43,TABLAS!#REF!,3)</f>
        <v>#REF!</v>
      </c>
      <c r="J43" s="79" t="e">
        <f t="shared" si="13"/>
        <v>#REF!</v>
      </c>
      <c r="K43" s="79" t="e">
        <f t="shared" si="14"/>
        <v>#N/A</v>
      </c>
      <c r="L43" s="81" t="e">
        <f t="shared" si="15"/>
        <v>#REF!</v>
      </c>
      <c r="M43" s="80" t="e">
        <f>+IF(K43&gt;0,(D43-G43-#REF!),D43-L43)</f>
        <v>#N/A</v>
      </c>
      <c r="N43" s="218" t="e">
        <f>'IMSS REAL'!AL43</f>
        <v>#N/A</v>
      </c>
    </row>
    <row r="44" spans="1:14" ht="12.75" customHeight="1" x14ac:dyDescent="0.25">
      <c r="A44" s="219">
        <f t="shared" si="10"/>
        <v>38</v>
      </c>
      <c r="B44" s="115" t="str">
        <f>NOMINA!B44</f>
        <v>Empleado 38</v>
      </c>
      <c r="C44" s="115" t="str">
        <f>NOMINA!C44</f>
        <v>Emp 038</v>
      </c>
      <c r="D44" s="116">
        <f>+NOMINA!D44</f>
        <v>0</v>
      </c>
      <c r="E44" s="117">
        <v>30</v>
      </c>
      <c r="F44" s="118">
        <f t="shared" si="11"/>
        <v>0</v>
      </c>
      <c r="G44" s="79">
        <f t="shared" si="12"/>
        <v>0</v>
      </c>
      <c r="H44" s="80" t="e">
        <f>(G44-VLOOKUP(G44,TABLAS!$A$7:$D$14,1))*VLOOKUP(G44,TABLAS!$A$7:$D$14,4)+VLOOKUP(G44,TABLAS!$A$7:$D$14,3)</f>
        <v>#N/A</v>
      </c>
      <c r="I44" s="79" t="e">
        <f>+VLOOKUP(G44,TABLAS!#REF!,3)</f>
        <v>#REF!</v>
      </c>
      <c r="J44" s="79" t="e">
        <f t="shared" si="13"/>
        <v>#REF!</v>
      </c>
      <c r="K44" s="79" t="e">
        <f t="shared" si="14"/>
        <v>#N/A</v>
      </c>
      <c r="L44" s="81" t="e">
        <f t="shared" si="15"/>
        <v>#REF!</v>
      </c>
      <c r="M44" s="80" t="e">
        <f>+IF(K44&gt;0,(D44-G44-#REF!),D44-L44)</f>
        <v>#N/A</v>
      </c>
      <c r="N44" s="218" t="e">
        <f>'IMSS REAL'!AL44</f>
        <v>#N/A</v>
      </c>
    </row>
    <row r="45" spans="1:14" ht="12.75" customHeight="1" x14ac:dyDescent="0.25">
      <c r="A45" s="219">
        <f t="shared" si="10"/>
        <v>39</v>
      </c>
      <c r="B45" s="115" t="str">
        <f>NOMINA!B45</f>
        <v>Empleado 39</v>
      </c>
      <c r="C45" s="115" t="str">
        <f>NOMINA!C45</f>
        <v>Emp 039</v>
      </c>
      <c r="D45" s="116">
        <f>+NOMINA!D45</f>
        <v>0</v>
      </c>
      <c r="E45" s="117">
        <v>30</v>
      </c>
      <c r="F45" s="118">
        <f t="shared" si="11"/>
        <v>0</v>
      </c>
      <c r="G45" s="79">
        <f t="shared" si="12"/>
        <v>0</v>
      </c>
      <c r="H45" s="80" t="e">
        <f>(G45-VLOOKUP(G45,TABLAS!$A$7:$D$14,1))*VLOOKUP(G45,TABLAS!$A$7:$D$14,4)+VLOOKUP(G45,TABLAS!$A$7:$D$14,3)</f>
        <v>#N/A</v>
      </c>
      <c r="I45" s="79" t="e">
        <f>+VLOOKUP(G45,TABLAS!#REF!,3)</f>
        <v>#REF!</v>
      </c>
      <c r="J45" s="79" t="e">
        <f t="shared" si="13"/>
        <v>#REF!</v>
      </c>
      <c r="K45" s="79" t="e">
        <f t="shared" si="14"/>
        <v>#N/A</v>
      </c>
      <c r="L45" s="81" t="e">
        <f t="shared" si="15"/>
        <v>#REF!</v>
      </c>
      <c r="M45" s="80" t="e">
        <f>+IF(K45&gt;0,(D45-G45-#REF!),D45-L45)</f>
        <v>#N/A</v>
      </c>
      <c r="N45" s="218" t="e">
        <f>'IMSS REAL'!AL45</f>
        <v>#N/A</v>
      </c>
    </row>
    <row r="46" spans="1:14" ht="12.75" customHeight="1" x14ac:dyDescent="0.25">
      <c r="A46" s="219">
        <f t="shared" si="10"/>
        <v>40</v>
      </c>
      <c r="B46" s="115" t="str">
        <f>NOMINA!B46</f>
        <v>Empleado 40</v>
      </c>
      <c r="C46" s="115" t="str">
        <f>NOMINA!C46</f>
        <v>Emp 040</v>
      </c>
      <c r="D46" s="116">
        <f>+NOMINA!D46</f>
        <v>0</v>
      </c>
      <c r="E46" s="117">
        <v>30</v>
      </c>
      <c r="F46" s="118">
        <f t="shared" si="11"/>
        <v>0</v>
      </c>
      <c r="G46" s="79">
        <f t="shared" si="12"/>
        <v>0</v>
      </c>
      <c r="H46" s="80" t="e">
        <f>(G46-VLOOKUP(G46,TABLAS!$A$7:$D$14,1))*VLOOKUP(G46,TABLAS!$A$7:$D$14,4)+VLOOKUP(G46,TABLAS!$A$7:$D$14,3)</f>
        <v>#N/A</v>
      </c>
      <c r="I46" s="79" t="e">
        <f>+VLOOKUP(G46,TABLAS!#REF!,3)</f>
        <v>#REF!</v>
      </c>
      <c r="J46" s="79" t="e">
        <f t="shared" si="13"/>
        <v>#REF!</v>
      </c>
      <c r="K46" s="79" t="e">
        <f t="shared" si="14"/>
        <v>#N/A</v>
      </c>
      <c r="L46" s="81" t="e">
        <f t="shared" si="15"/>
        <v>#REF!</v>
      </c>
      <c r="M46" s="80" t="e">
        <f>+IF(K46&gt;0,(D46-G46-#REF!),D46-L46)</f>
        <v>#N/A</v>
      </c>
      <c r="N46" s="218" t="e">
        <f>'IMSS REAL'!AL46</f>
        <v>#N/A</v>
      </c>
    </row>
    <row r="47" spans="1:14" ht="12.75" customHeight="1" x14ac:dyDescent="0.25">
      <c r="A47" s="219">
        <f t="shared" si="10"/>
        <v>41</v>
      </c>
      <c r="B47" s="115" t="str">
        <f>NOMINA!B47</f>
        <v>Empleado 41</v>
      </c>
      <c r="C47" s="115" t="str">
        <f>NOMINA!C47</f>
        <v>Emp 041</v>
      </c>
      <c r="D47" s="116">
        <f>+NOMINA!D47</f>
        <v>0</v>
      </c>
      <c r="E47" s="117">
        <v>30</v>
      </c>
      <c r="F47" s="118">
        <f t="shared" si="11"/>
        <v>0</v>
      </c>
      <c r="G47" s="79">
        <f t="shared" si="12"/>
        <v>0</v>
      </c>
      <c r="H47" s="80" t="e">
        <f>(G47-VLOOKUP(G47,TABLAS!$A$7:$D$14,1))*VLOOKUP(G47,TABLAS!$A$7:$D$14,4)+VLOOKUP(G47,TABLAS!$A$7:$D$14,3)</f>
        <v>#N/A</v>
      </c>
      <c r="I47" s="79" t="e">
        <f>+VLOOKUP(G47,TABLAS!#REF!,3)</f>
        <v>#REF!</v>
      </c>
      <c r="J47" s="79" t="e">
        <f t="shared" si="13"/>
        <v>#REF!</v>
      </c>
      <c r="K47" s="79" t="e">
        <f t="shared" si="14"/>
        <v>#N/A</v>
      </c>
      <c r="L47" s="81" t="e">
        <f t="shared" si="15"/>
        <v>#REF!</v>
      </c>
      <c r="M47" s="80" t="e">
        <f>+IF(K47&gt;0,(D47-G47-#REF!),D47-L47)</f>
        <v>#N/A</v>
      </c>
      <c r="N47" s="218" t="e">
        <f>'IMSS REAL'!AL47</f>
        <v>#N/A</v>
      </c>
    </row>
    <row r="48" spans="1:14" ht="12.75" customHeight="1" x14ac:dyDescent="0.25">
      <c r="A48" s="219">
        <f t="shared" si="10"/>
        <v>42</v>
      </c>
      <c r="B48" s="115" t="str">
        <f>NOMINA!B48</f>
        <v>Empleado 42</v>
      </c>
      <c r="C48" s="115" t="str">
        <f>NOMINA!C48</f>
        <v>Emp 042</v>
      </c>
      <c r="D48" s="116">
        <f>+NOMINA!D48</f>
        <v>0</v>
      </c>
      <c r="E48" s="117">
        <v>30</v>
      </c>
      <c r="F48" s="118">
        <f t="shared" si="11"/>
        <v>0</v>
      </c>
      <c r="G48" s="79">
        <f t="shared" si="12"/>
        <v>0</v>
      </c>
      <c r="H48" s="80" t="e">
        <f>(G48-VLOOKUP(G48,TABLAS!$A$7:$D$14,1))*VLOOKUP(G48,TABLAS!$A$7:$D$14,4)+VLOOKUP(G48,TABLAS!$A$7:$D$14,3)</f>
        <v>#N/A</v>
      </c>
      <c r="I48" s="79" t="e">
        <f>+VLOOKUP(G48,TABLAS!#REF!,3)</f>
        <v>#REF!</v>
      </c>
      <c r="J48" s="79" t="e">
        <f t="shared" si="13"/>
        <v>#REF!</v>
      </c>
      <c r="K48" s="79" t="e">
        <f t="shared" si="14"/>
        <v>#N/A</v>
      </c>
      <c r="L48" s="81" t="e">
        <f t="shared" si="15"/>
        <v>#REF!</v>
      </c>
      <c r="M48" s="80" t="e">
        <f>+IF(K48&gt;0,(D48-G48-#REF!),D48-L48)</f>
        <v>#N/A</v>
      </c>
      <c r="N48" s="218" t="e">
        <f>'IMSS REAL'!AL48</f>
        <v>#N/A</v>
      </c>
    </row>
    <row r="49" spans="1:14" ht="12.75" customHeight="1" x14ac:dyDescent="0.25">
      <c r="A49" s="219">
        <f t="shared" si="10"/>
        <v>43</v>
      </c>
      <c r="B49" s="115" t="str">
        <f>NOMINA!B49</f>
        <v>Empleado 43</v>
      </c>
      <c r="C49" s="115" t="str">
        <f>NOMINA!C49</f>
        <v>Emp 043</v>
      </c>
      <c r="D49" s="116">
        <f>+NOMINA!D49</f>
        <v>0</v>
      </c>
      <c r="E49" s="117">
        <v>30</v>
      </c>
      <c r="F49" s="118">
        <f t="shared" si="11"/>
        <v>0</v>
      </c>
      <c r="G49" s="79">
        <f t="shared" si="12"/>
        <v>0</v>
      </c>
      <c r="H49" s="80" t="e">
        <f>(G49-VLOOKUP(G49,TABLAS!$A$7:$D$14,1))*VLOOKUP(G49,TABLAS!$A$7:$D$14,4)+VLOOKUP(G49,TABLAS!$A$7:$D$14,3)</f>
        <v>#N/A</v>
      </c>
      <c r="I49" s="79" t="e">
        <f>+VLOOKUP(G49,TABLAS!#REF!,3)</f>
        <v>#REF!</v>
      </c>
      <c r="J49" s="79" t="e">
        <f t="shared" si="13"/>
        <v>#REF!</v>
      </c>
      <c r="K49" s="79" t="e">
        <f t="shared" si="14"/>
        <v>#N/A</v>
      </c>
      <c r="L49" s="81" t="e">
        <f t="shared" si="15"/>
        <v>#REF!</v>
      </c>
      <c r="M49" s="80" t="e">
        <f>+IF(K49&gt;0,(D49-G49-#REF!),D49-L49)</f>
        <v>#N/A</v>
      </c>
      <c r="N49" s="218" t="e">
        <f>'IMSS REAL'!AL49</f>
        <v>#N/A</v>
      </c>
    </row>
    <row r="50" spans="1:14" ht="12.75" customHeight="1" x14ac:dyDescent="0.25">
      <c r="A50" s="219">
        <f t="shared" si="10"/>
        <v>44</v>
      </c>
      <c r="B50" s="115" t="str">
        <f>NOMINA!B50</f>
        <v>Empleado 44</v>
      </c>
      <c r="C50" s="115" t="str">
        <f>NOMINA!C50</f>
        <v>Emp 044</v>
      </c>
      <c r="D50" s="116">
        <f>+NOMINA!D50</f>
        <v>0</v>
      </c>
      <c r="E50" s="117">
        <v>30</v>
      </c>
      <c r="F50" s="118">
        <f t="shared" si="11"/>
        <v>0</v>
      </c>
      <c r="G50" s="79">
        <f t="shared" si="12"/>
        <v>0</v>
      </c>
      <c r="H50" s="80" t="e">
        <f>(G50-VLOOKUP(G50,TABLAS!$A$7:$D$14,1))*VLOOKUP(G50,TABLAS!$A$7:$D$14,4)+VLOOKUP(G50,TABLAS!$A$7:$D$14,3)</f>
        <v>#N/A</v>
      </c>
      <c r="I50" s="79" t="e">
        <f>+VLOOKUP(G50,TABLAS!#REF!,3)</f>
        <v>#REF!</v>
      </c>
      <c r="J50" s="79" t="e">
        <f t="shared" si="13"/>
        <v>#REF!</v>
      </c>
      <c r="K50" s="79" t="e">
        <f t="shared" si="14"/>
        <v>#N/A</v>
      </c>
      <c r="L50" s="81" t="e">
        <f t="shared" si="15"/>
        <v>#REF!</v>
      </c>
      <c r="M50" s="80" t="e">
        <f>+IF(K50&gt;0,(D50-G50-#REF!),D50-L50)</f>
        <v>#N/A</v>
      </c>
      <c r="N50" s="218" t="e">
        <f>'IMSS REAL'!AL50</f>
        <v>#N/A</v>
      </c>
    </row>
    <row r="51" spans="1:14" ht="12.75" customHeight="1" x14ac:dyDescent="0.25">
      <c r="A51" s="219">
        <f t="shared" si="10"/>
        <v>45</v>
      </c>
      <c r="B51" s="115" t="str">
        <f>NOMINA!B51</f>
        <v>Empleado 45</v>
      </c>
      <c r="C51" s="115" t="str">
        <f>NOMINA!C51</f>
        <v>Emp 045</v>
      </c>
      <c r="D51" s="116">
        <f>+NOMINA!D51</f>
        <v>0</v>
      </c>
      <c r="E51" s="117">
        <v>30</v>
      </c>
      <c r="F51" s="118">
        <f t="shared" si="11"/>
        <v>0</v>
      </c>
      <c r="G51" s="79">
        <f t="shared" si="12"/>
        <v>0</v>
      </c>
      <c r="H51" s="80" t="e">
        <f>(G51-VLOOKUP(G51,TABLAS!$A$7:$D$14,1))*VLOOKUP(G51,TABLAS!$A$7:$D$14,4)+VLOOKUP(G51,TABLAS!$A$7:$D$14,3)</f>
        <v>#N/A</v>
      </c>
      <c r="I51" s="79" t="e">
        <f>+VLOOKUP(G51,TABLAS!#REF!,3)</f>
        <v>#REF!</v>
      </c>
      <c r="J51" s="79" t="e">
        <f t="shared" si="13"/>
        <v>#REF!</v>
      </c>
      <c r="K51" s="79" t="e">
        <f t="shared" si="14"/>
        <v>#N/A</v>
      </c>
      <c r="L51" s="81" t="e">
        <f t="shared" si="15"/>
        <v>#REF!</v>
      </c>
      <c r="M51" s="80" t="e">
        <f>+IF(K51&gt;0,(D51-G51-#REF!),D51-L51)</f>
        <v>#N/A</v>
      </c>
      <c r="N51" s="218" t="e">
        <f>'IMSS REAL'!AL51</f>
        <v>#N/A</v>
      </c>
    </row>
    <row r="52" spans="1:14" ht="12.75" customHeight="1" x14ac:dyDescent="0.25">
      <c r="A52" s="219">
        <f t="shared" si="10"/>
        <v>46</v>
      </c>
      <c r="B52" s="115" t="str">
        <f>NOMINA!B52</f>
        <v>Empleado 46</v>
      </c>
      <c r="C52" s="115" t="str">
        <f>NOMINA!C52</f>
        <v>Emp 046</v>
      </c>
      <c r="D52" s="116">
        <f>+NOMINA!D52</f>
        <v>0</v>
      </c>
      <c r="E52" s="117">
        <v>30</v>
      </c>
      <c r="F52" s="118">
        <f t="shared" si="11"/>
        <v>0</v>
      </c>
      <c r="G52" s="79">
        <f t="shared" si="12"/>
        <v>0</v>
      </c>
      <c r="H52" s="80" t="e">
        <f>(G52-VLOOKUP(G52,TABLAS!$A$7:$D$14,1))*VLOOKUP(G52,TABLAS!$A$7:$D$14,4)+VLOOKUP(G52,TABLAS!$A$7:$D$14,3)</f>
        <v>#N/A</v>
      </c>
      <c r="I52" s="79" t="e">
        <f>+VLOOKUP(G52,TABLAS!#REF!,3)</f>
        <v>#REF!</v>
      </c>
      <c r="J52" s="79" t="e">
        <f t="shared" si="13"/>
        <v>#REF!</v>
      </c>
      <c r="K52" s="79" t="e">
        <f t="shared" si="14"/>
        <v>#N/A</v>
      </c>
      <c r="L52" s="81" t="e">
        <f t="shared" si="15"/>
        <v>#REF!</v>
      </c>
      <c r="M52" s="80" t="e">
        <f>+IF(K52&gt;0,(D52-G52-#REF!),D52-L52)</f>
        <v>#N/A</v>
      </c>
      <c r="N52" s="218" t="e">
        <f>'IMSS REAL'!AL52</f>
        <v>#N/A</v>
      </c>
    </row>
    <row r="53" spans="1:14" ht="12.75" customHeight="1" x14ac:dyDescent="0.25">
      <c r="A53" s="219">
        <f t="shared" si="10"/>
        <v>47</v>
      </c>
      <c r="B53" s="115" t="str">
        <f>NOMINA!B53</f>
        <v>Empleado 47</v>
      </c>
      <c r="C53" s="115" t="str">
        <f>NOMINA!C53</f>
        <v>Emp 047</v>
      </c>
      <c r="D53" s="116">
        <f>+NOMINA!D53</f>
        <v>0</v>
      </c>
      <c r="E53" s="117">
        <v>30</v>
      </c>
      <c r="F53" s="118">
        <f t="shared" si="11"/>
        <v>0</v>
      </c>
      <c r="G53" s="79">
        <f t="shared" si="12"/>
        <v>0</v>
      </c>
      <c r="H53" s="80" t="e">
        <f>(G53-VLOOKUP(G53,TABLAS!$A$7:$D$14,1))*VLOOKUP(G53,TABLAS!$A$7:$D$14,4)+VLOOKUP(G53,TABLAS!$A$7:$D$14,3)</f>
        <v>#N/A</v>
      </c>
      <c r="I53" s="79" t="e">
        <f>+VLOOKUP(G53,TABLAS!#REF!,3)</f>
        <v>#REF!</v>
      </c>
      <c r="J53" s="79" t="e">
        <f t="shared" si="13"/>
        <v>#REF!</v>
      </c>
      <c r="K53" s="79" t="e">
        <f t="shared" si="14"/>
        <v>#N/A</v>
      </c>
      <c r="L53" s="81" t="e">
        <f t="shared" si="15"/>
        <v>#REF!</v>
      </c>
      <c r="M53" s="80" t="e">
        <f>+IF(K53&gt;0,(D53-G53-#REF!),D53-L53)</f>
        <v>#N/A</v>
      </c>
      <c r="N53" s="218" t="e">
        <f>'IMSS REAL'!AL53</f>
        <v>#N/A</v>
      </c>
    </row>
    <row r="54" spans="1:14" ht="12.75" customHeight="1" x14ac:dyDescent="0.25">
      <c r="A54" s="219">
        <f t="shared" si="10"/>
        <v>48</v>
      </c>
      <c r="B54" s="115" t="str">
        <f>NOMINA!B54</f>
        <v>Empleado 48</v>
      </c>
      <c r="C54" s="115" t="str">
        <f>NOMINA!C54</f>
        <v>Emp 048</v>
      </c>
      <c r="D54" s="116">
        <f>+NOMINA!D54</f>
        <v>0</v>
      </c>
      <c r="E54" s="117">
        <v>30</v>
      </c>
      <c r="F54" s="118">
        <f t="shared" si="11"/>
        <v>0</v>
      </c>
      <c r="G54" s="79">
        <f t="shared" si="12"/>
        <v>0</v>
      </c>
      <c r="H54" s="80" t="e">
        <f>(G54-VLOOKUP(G54,TABLAS!$A$7:$D$14,1))*VLOOKUP(G54,TABLAS!$A$7:$D$14,4)+VLOOKUP(G54,TABLAS!$A$7:$D$14,3)</f>
        <v>#N/A</v>
      </c>
      <c r="I54" s="79" t="e">
        <f>+VLOOKUP(G54,TABLAS!#REF!,3)</f>
        <v>#REF!</v>
      </c>
      <c r="J54" s="79" t="e">
        <f t="shared" si="13"/>
        <v>#REF!</v>
      </c>
      <c r="K54" s="79" t="e">
        <f t="shared" si="14"/>
        <v>#N/A</v>
      </c>
      <c r="L54" s="81" t="e">
        <f t="shared" si="15"/>
        <v>#REF!</v>
      </c>
      <c r="M54" s="80" t="e">
        <f>+IF(K54&gt;0,(D54-G54-#REF!),D54-L54)</f>
        <v>#N/A</v>
      </c>
      <c r="N54" s="218" t="e">
        <f>'IMSS REAL'!AL54</f>
        <v>#N/A</v>
      </c>
    </row>
    <row r="55" spans="1:14" ht="12.75" customHeight="1" x14ac:dyDescent="0.25">
      <c r="A55" s="219">
        <f t="shared" si="10"/>
        <v>49</v>
      </c>
      <c r="B55" s="115" t="str">
        <f>NOMINA!B55</f>
        <v>Empleado 49</v>
      </c>
      <c r="C55" s="115" t="str">
        <f>NOMINA!C55</f>
        <v>Emp 049</v>
      </c>
      <c r="D55" s="116">
        <f>+NOMINA!D55</f>
        <v>0</v>
      </c>
      <c r="E55" s="117">
        <v>30</v>
      </c>
      <c r="F55" s="118">
        <f t="shared" si="11"/>
        <v>0</v>
      </c>
      <c r="G55" s="79">
        <f t="shared" si="12"/>
        <v>0</v>
      </c>
      <c r="H55" s="80" t="e">
        <f>(G55-VLOOKUP(G55,TABLAS!$A$7:$D$14,1))*VLOOKUP(G55,TABLAS!$A$7:$D$14,4)+VLOOKUP(G55,TABLAS!$A$7:$D$14,3)</f>
        <v>#N/A</v>
      </c>
      <c r="I55" s="79" t="e">
        <f>+VLOOKUP(G55,TABLAS!#REF!,3)</f>
        <v>#REF!</v>
      </c>
      <c r="J55" s="79" t="e">
        <f t="shared" si="13"/>
        <v>#REF!</v>
      </c>
      <c r="K55" s="79" t="e">
        <f t="shared" si="14"/>
        <v>#N/A</v>
      </c>
      <c r="L55" s="81" t="e">
        <f t="shared" si="15"/>
        <v>#REF!</v>
      </c>
      <c r="M55" s="80" t="e">
        <f>+IF(K55&gt;0,(D55-G55-#REF!),D55-L55)</f>
        <v>#N/A</v>
      </c>
      <c r="N55" s="218" t="e">
        <f>'IMSS REAL'!AL55</f>
        <v>#N/A</v>
      </c>
    </row>
    <row r="56" spans="1:14" ht="12.75" customHeight="1" x14ac:dyDescent="0.25">
      <c r="A56" s="219">
        <f t="shared" si="10"/>
        <v>50</v>
      </c>
      <c r="B56" s="115" t="str">
        <f>NOMINA!B56</f>
        <v>Empleado 50</v>
      </c>
      <c r="C56" s="115" t="str">
        <f>NOMINA!C56</f>
        <v>Emp 050</v>
      </c>
      <c r="D56" s="116">
        <f>+NOMINA!D56</f>
        <v>0</v>
      </c>
      <c r="E56" s="117">
        <v>30</v>
      </c>
      <c r="F56" s="118">
        <f t="shared" si="11"/>
        <v>0</v>
      </c>
      <c r="G56" s="79">
        <f t="shared" si="12"/>
        <v>0</v>
      </c>
      <c r="H56" s="80" t="e">
        <f>(G56-VLOOKUP(G56,TABLAS!$A$7:$D$14,1))*VLOOKUP(G56,TABLAS!$A$7:$D$14,4)+VLOOKUP(G56,TABLAS!$A$7:$D$14,3)</f>
        <v>#N/A</v>
      </c>
      <c r="I56" s="79" t="e">
        <f>+VLOOKUP(G56,TABLAS!#REF!,3)</f>
        <v>#REF!</v>
      </c>
      <c r="J56" s="79" t="e">
        <f t="shared" si="13"/>
        <v>#REF!</v>
      </c>
      <c r="K56" s="79" t="e">
        <f t="shared" si="14"/>
        <v>#N/A</v>
      </c>
      <c r="L56" s="81" t="e">
        <f t="shared" si="15"/>
        <v>#REF!</v>
      </c>
      <c r="M56" s="80" t="e">
        <f>+IF(K56&gt;0,(D56-G56-#REF!),D56-L56)</f>
        <v>#N/A</v>
      </c>
      <c r="N56" s="218" t="e">
        <f>'IMSS REAL'!AL56</f>
        <v>#N/A</v>
      </c>
    </row>
    <row r="57" spans="1:14" ht="12.75" customHeight="1" x14ac:dyDescent="0.25">
      <c r="A57" s="219">
        <f t="shared" si="10"/>
        <v>51</v>
      </c>
      <c r="B57" s="115" t="str">
        <f>NOMINA!B57</f>
        <v>Empleado 51</v>
      </c>
      <c r="C57" s="115" t="str">
        <f>NOMINA!C57</f>
        <v>Emp 051</v>
      </c>
      <c r="D57" s="116">
        <f>+NOMINA!D57</f>
        <v>0</v>
      </c>
      <c r="E57" s="117">
        <v>30</v>
      </c>
      <c r="F57" s="118">
        <f t="shared" si="11"/>
        <v>0</v>
      </c>
      <c r="G57" s="79">
        <f t="shared" si="12"/>
        <v>0</v>
      </c>
      <c r="H57" s="80" t="e">
        <f>(G57-VLOOKUP(G57,TABLAS!$A$7:$D$14,1))*VLOOKUP(G57,TABLAS!$A$7:$D$14,4)+VLOOKUP(G57,TABLAS!$A$7:$D$14,3)</f>
        <v>#N/A</v>
      </c>
      <c r="I57" s="79" t="e">
        <f>+VLOOKUP(G57,TABLAS!#REF!,3)</f>
        <v>#REF!</v>
      </c>
      <c r="J57" s="79" t="e">
        <f t="shared" si="13"/>
        <v>#REF!</v>
      </c>
      <c r="K57" s="79" t="e">
        <f t="shared" si="14"/>
        <v>#N/A</v>
      </c>
      <c r="L57" s="81" t="e">
        <f t="shared" si="15"/>
        <v>#REF!</v>
      </c>
      <c r="M57" s="80" t="e">
        <f>+IF(K57&gt;0,(D57-G57-#REF!),D57-L57)</f>
        <v>#N/A</v>
      </c>
      <c r="N57" s="218" t="e">
        <f>'IMSS REAL'!AL57</f>
        <v>#N/A</v>
      </c>
    </row>
    <row r="58" spans="1:14" ht="12.75" customHeight="1" x14ac:dyDescent="0.25">
      <c r="A58" s="219">
        <f t="shared" si="10"/>
        <v>52</v>
      </c>
      <c r="B58" s="115" t="str">
        <f>NOMINA!B58</f>
        <v>Empleado 52</v>
      </c>
      <c r="C58" s="115" t="str">
        <f>NOMINA!C58</f>
        <v>Emp 052</v>
      </c>
      <c r="D58" s="116">
        <f>+NOMINA!D58</f>
        <v>0</v>
      </c>
      <c r="E58" s="117">
        <v>30</v>
      </c>
      <c r="F58" s="118">
        <f t="shared" si="11"/>
        <v>0</v>
      </c>
      <c r="G58" s="79">
        <f t="shared" si="12"/>
        <v>0</v>
      </c>
      <c r="H58" s="80" t="e">
        <f>(G58-VLOOKUP(G58,TABLAS!$A$7:$D$14,1))*VLOOKUP(G58,TABLAS!$A$7:$D$14,4)+VLOOKUP(G58,TABLAS!$A$7:$D$14,3)</f>
        <v>#N/A</v>
      </c>
      <c r="I58" s="79" t="e">
        <f>+VLOOKUP(G58,TABLAS!#REF!,3)</f>
        <v>#REF!</v>
      </c>
      <c r="J58" s="79" t="e">
        <f t="shared" si="13"/>
        <v>#REF!</v>
      </c>
      <c r="K58" s="79" t="e">
        <f t="shared" si="14"/>
        <v>#N/A</v>
      </c>
      <c r="L58" s="81" t="e">
        <f t="shared" si="15"/>
        <v>#REF!</v>
      </c>
      <c r="M58" s="80" t="e">
        <f>+IF(K58&gt;0,(D58-G58-#REF!),D58-L58)</f>
        <v>#N/A</v>
      </c>
      <c r="N58" s="218" t="e">
        <f>'IMSS REAL'!AL58</f>
        <v>#N/A</v>
      </c>
    </row>
    <row r="59" spans="1:14" ht="12.75" customHeight="1" x14ac:dyDescent="0.25">
      <c r="A59" s="219">
        <f t="shared" si="10"/>
        <v>53</v>
      </c>
      <c r="B59" s="115" t="str">
        <f>NOMINA!B59</f>
        <v>Empleado 53</v>
      </c>
      <c r="C59" s="115" t="str">
        <f>NOMINA!C59</f>
        <v>Emp 053</v>
      </c>
      <c r="D59" s="116">
        <f>+NOMINA!D59</f>
        <v>0</v>
      </c>
      <c r="E59" s="117">
        <v>30</v>
      </c>
      <c r="F59" s="118">
        <f t="shared" si="11"/>
        <v>0</v>
      </c>
      <c r="G59" s="79">
        <f t="shared" si="12"/>
        <v>0</v>
      </c>
      <c r="H59" s="80" t="e">
        <f>(G59-VLOOKUP(G59,TABLAS!$A$7:$D$14,1))*VLOOKUP(G59,TABLAS!$A$7:$D$14,4)+VLOOKUP(G59,TABLAS!$A$7:$D$14,3)</f>
        <v>#N/A</v>
      </c>
      <c r="I59" s="79" t="e">
        <f>+VLOOKUP(G59,TABLAS!#REF!,3)</f>
        <v>#REF!</v>
      </c>
      <c r="J59" s="79" t="e">
        <f t="shared" si="13"/>
        <v>#REF!</v>
      </c>
      <c r="K59" s="79" t="e">
        <f t="shared" si="14"/>
        <v>#N/A</v>
      </c>
      <c r="L59" s="81" t="e">
        <f t="shared" si="15"/>
        <v>#REF!</v>
      </c>
      <c r="M59" s="80" t="e">
        <f>+IF(K59&gt;0,(D59-G59-#REF!),D59-L59)</f>
        <v>#N/A</v>
      </c>
      <c r="N59" s="218" t="e">
        <f>'IMSS REAL'!AL59</f>
        <v>#N/A</v>
      </c>
    </row>
    <row r="60" spans="1:14" ht="12.75" customHeight="1" x14ac:dyDescent="0.25">
      <c r="A60" s="219">
        <f t="shared" si="10"/>
        <v>54</v>
      </c>
      <c r="B60" s="115" t="str">
        <f>NOMINA!B60</f>
        <v>Empleado 54</v>
      </c>
      <c r="C60" s="115" t="str">
        <f>NOMINA!C60</f>
        <v>Emp 054</v>
      </c>
      <c r="D60" s="116">
        <f>+NOMINA!D60</f>
        <v>0</v>
      </c>
      <c r="E60" s="117">
        <v>30</v>
      </c>
      <c r="F60" s="118">
        <f t="shared" si="11"/>
        <v>0</v>
      </c>
      <c r="G60" s="79">
        <f t="shared" si="12"/>
        <v>0</v>
      </c>
      <c r="H60" s="80" t="e">
        <f>(G60-VLOOKUP(G60,TABLAS!$A$7:$D$14,1))*VLOOKUP(G60,TABLAS!$A$7:$D$14,4)+VLOOKUP(G60,TABLAS!$A$7:$D$14,3)</f>
        <v>#N/A</v>
      </c>
      <c r="I60" s="79" t="e">
        <f>+VLOOKUP(G60,TABLAS!#REF!,3)</f>
        <v>#REF!</v>
      </c>
      <c r="J60" s="79" t="e">
        <f t="shared" si="13"/>
        <v>#REF!</v>
      </c>
      <c r="K60" s="79" t="e">
        <f t="shared" si="14"/>
        <v>#N/A</v>
      </c>
      <c r="L60" s="81" t="e">
        <f t="shared" si="15"/>
        <v>#REF!</v>
      </c>
      <c r="M60" s="80" t="e">
        <f>+IF(K60&gt;0,(D60-G60-#REF!),D60-L60)</f>
        <v>#N/A</v>
      </c>
      <c r="N60" s="218" t="e">
        <f>'IMSS REAL'!AL60</f>
        <v>#N/A</v>
      </c>
    </row>
    <row r="61" spans="1:14" ht="12.75" customHeight="1" x14ac:dyDescent="0.25">
      <c r="A61" s="219">
        <f t="shared" si="10"/>
        <v>55</v>
      </c>
      <c r="B61" s="115" t="str">
        <f>NOMINA!B61</f>
        <v>Empleado 55</v>
      </c>
      <c r="C61" s="115" t="str">
        <f>NOMINA!C61</f>
        <v>Emp 055</v>
      </c>
      <c r="D61" s="116">
        <f>+NOMINA!D61</f>
        <v>0</v>
      </c>
      <c r="E61" s="117">
        <v>30</v>
      </c>
      <c r="F61" s="118">
        <f t="shared" si="11"/>
        <v>0</v>
      </c>
      <c r="G61" s="79">
        <f t="shared" si="12"/>
        <v>0</v>
      </c>
      <c r="H61" s="80" t="e">
        <f>(G61-VLOOKUP(G61,TABLAS!$A$7:$D$14,1))*VLOOKUP(G61,TABLAS!$A$7:$D$14,4)+VLOOKUP(G61,TABLAS!$A$7:$D$14,3)</f>
        <v>#N/A</v>
      </c>
      <c r="I61" s="79" t="e">
        <f>+VLOOKUP(G61,TABLAS!#REF!,3)</f>
        <v>#REF!</v>
      </c>
      <c r="J61" s="79" t="e">
        <f t="shared" si="13"/>
        <v>#REF!</v>
      </c>
      <c r="K61" s="79" t="e">
        <f t="shared" si="14"/>
        <v>#N/A</v>
      </c>
      <c r="L61" s="81" t="e">
        <f t="shared" si="15"/>
        <v>#REF!</v>
      </c>
      <c r="M61" s="80" t="e">
        <f>+IF(K61&gt;0,(D61-G61-#REF!),D61-L61)</f>
        <v>#N/A</v>
      </c>
      <c r="N61" s="218" t="e">
        <f>'IMSS REAL'!AL61</f>
        <v>#N/A</v>
      </c>
    </row>
    <row r="62" spans="1:14" ht="12.75" customHeight="1" x14ac:dyDescent="0.25">
      <c r="A62" s="219">
        <f t="shared" si="10"/>
        <v>56</v>
      </c>
      <c r="B62" s="115" t="str">
        <f>NOMINA!B62</f>
        <v>Empleado 56</v>
      </c>
      <c r="C62" s="115" t="str">
        <f>NOMINA!C62</f>
        <v>Emp 056</v>
      </c>
      <c r="D62" s="116">
        <f>+NOMINA!D62</f>
        <v>0</v>
      </c>
      <c r="E62" s="117">
        <v>30</v>
      </c>
      <c r="F62" s="118">
        <f t="shared" si="11"/>
        <v>0</v>
      </c>
      <c r="G62" s="79">
        <f t="shared" si="12"/>
        <v>0</v>
      </c>
      <c r="H62" s="80" t="e">
        <f>(G62-VLOOKUP(G62,TABLAS!$A$7:$D$14,1))*VLOOKUP(G62,TABLAS!$A$7:$D$14,4)+VLOOKUP(G62,TABLAS!$A$7:$D$14,3)</f>
        <v>#N/A</v>
      </c>
      <c r="I62" s="79" t="e">
        <f>+VLOOKUP(G62,TABLAS!#REF!,3)</f>
        <v>#REF!</v>
      </c>
      <c r="J62" s="79" t="e">
        <f t="shared" si="13"/>
        <v>#REF!</v>
      </c>
      <c r="K62" s="79" t="e">
        <f t="shared" si="14"/>
        <v>#N/A</v>
      </c>
      <c r="L62" s="81" t="e">
        <f t="shared" si="15"/>
        <v>#REF!</v>
      </c>
      <c r="M62" s="80" t="e">
        <f>+IF(K62&gt;0,(D62-G62-#REF!),D62-L62)</f>
        <v>#N/A</v>
      </c>
      <c r="N62" s="218" t="e">
        <f>'IMSS REAL'!AL62</f>
        <v>#N/A</v>
      </c>
    </row>
    <row r="63" spans="1:14" ht="12.75" customHeight="1" x14ac:dyDescent="0.25">
      <c r="A63" s="219">
        <f t="shared" si="10"/>
        <v>57</v>
      </c>
      <c r="B63" s="115" t="str">
        <f>NOMINA!B63</f>
        <v>Empleado 57</v>
      </c>
      <c r="C63" s="115" t="str">
        <f>NOMINA!C63</f>
        <v>Emp 057</v>
      </c>
      <c r="D63" s="116">
        <f>+NOMINA!D63</f>
        <v>0</v>
      </c>
      <c r="E63" s="117">
        <v>30</v>
      </c>
      <c r="F63" s="118">
        <f t="shared" si="11"/>
        <v>0</v>
      </c>
      <c r="G63" s="79">
        <f t="shared" si="12"/>
        <v>0</v>
      </c>
      <c r="H63" s="80" t="e">
        <f>(G63-VLOOKUP(G63,TABLAS!$A$7:$D$14,1))*VLOOKUP(G63,TABLAS!$A$7:$D$14,4)+VLOOKUP(G63,TABLAS!$A$7:$D$14,3)</f>
        <v>#N/A</v>
      </c>
      <c r="I63" s="79" t="e">
        <f>+VLOOKUP(G63,TABLAS!#REF!,3)</f>
        <v>#REF!</v>
      </c>
      <c r="J63" s="79" t="e">
        <f t="shared" si="13"/>
        <v>#REF!</v>
      </c>
      <c r="K63" s="79" t="e">
        <f t="shared" si="14"/>
        <v>#N/A</v>
      </c>
      <c r="L63" s="81" t="e">
        <f t="shared" si="15"/>
        <v>#REF!</v>
      </c>
      <c r="M63" s="80" t="e">
        <f>+IF(K63&gt;0,(D63-G63-#REF!),D63-L63)</f>
        <v>#N/A</v>
      </c>
      <c r="N63" s="218" t="e">
        <f>'IMSS REAL'!AL63</f>
        <v>#N/A</v>
      </c>
    </row>
    <row r="64" spans="1:14" ht="12.75" customHeight="1" x14ac:dyDescent="0.25">
      <c r="A64" s="219">
        <f t="shared" si="10"/>
        <v>58</v>
      </c>
      <c r="B64" s="115" t="str">
        <f>NOMINA!B64</f>
        <v>Empleado 58</v>
      </c>
      <c r="C64" s="115" t="str">
        <f>NOMINA!C64</f>
        <v>Emp 058</v>
      </c>
      <c r="D64" s="116">
        <f>+NOMINA!D64</f>
        <v>0</v>
      </c>
      <c r="E64" s="117">
        <v>30</v>
      </c>
      <c r="F64" s="118">
        <f t="shared" si="11"/>
        <v>0</v>
      </c>
      <c r="G64" s="79">
        <f t="shared" si="12"/>
        <v>0</v>
      </c>
      <c r="H64" s="80" t="e">
        <f>(G64-VLOOKUP(G64,TABLAS!$A$7:$D$14,1))*VLOOKUP(G64,TABLAS!$A$7:$D$14,4)+VLOOKUP(G64,TABLAS!$A$7:$D$14,3)</f>
        <v>#N/A</v>
      </c>
      <c r="I64" s="79" t="e">
        <f>+VLOOKUP(G64,TABLAS!#REF!,3)</f>
        <v>#REF!</v>
      </c>
      <c r="J64" s="79" t="e">
        <f t="shared" si="13"/>
        <v>#REF!</v>
      </c>
      <c r="K64" s="79" t="e">
        <f t="shared" si="14"/>
        <v>#N/A</v>
      </c>
      <c r="L64" s="81" t="e">
        <f t="shared" si="15"/>
        <v>#REF!</v>
      </c>
      <c r="M64" s="80" t="e">
        <f>+IF(K64&gt;0,(D64-G64-#REF!),D64-L64)</f>
        <v>#N/A</v>
      </c>
      <c r="N64" s="218" t="e">
        <f>'IMSS REAL'!AL64</f>
        <v>#N/A</v>
      </c>
    </row>
    <row r="65" spans="1:14" ht="12.75" customHeight="1" x14ac:dyDescent="0.25">
      <c r="A65" s="219">
        <f t="shared" si="10"/>
        <v>59</v>
      </c>
      <c r="B65" s="115" t="str">
        <f>NOMINA!B65</f>
        <v>Empleado 59</v>
      </c>
      <c r="C65" s="115" t="str">
        <f>NOMINA!C65</f>
        <v>Emp 059</v>
      </c>
      <c r="D65" s="116">
        <f>+NOMINA!D65</f>
        <v>0</v>
      </c>
      <c r="E65" s="117">
        <v>30</v>
      </c>
      <c r="F65" s="118">
        <f t="shared" si="11"/>
        <v>0</v>
      </c>
      <c r="G65" s="79">
        <f t="shared" si="12"/>
        <v>0</v>
      </c>
      <c r="H65" s="80" t="e">
        <f>(G65-VLOOKUP(G65,TABLAS!$A$7:$D$14,1))*VLOOKUP(G65,TABLAS!$A$7:$D$14,4)+VLOOKUP(G65,TABLAS!$A$7:$D$14,3)</f>
        <v>#N/A</v>
      </c>
      <c r="I65" s="79" t="e">
        <f>+VLOOKUP(G65,TABLAS!#REF!,3)</f>
        <v>#REF!</v>
      </c>
      <c r="J65" s="79" t="e">
        <f t="shared" si="13"/>
        <v>#REF!</v>
      </c>
      <c r="K65" s="79" t="e">
        <f t="shared" si="14"/>
        <v>#N/A</v>
      </c>
      <c r="L65" s="81" t="e">
        <f t="shared" si="15"/>
        <v>#REF!</v>
      </c>
      <c r="M65" s="80" t="e">
        <f>+IF(K65&gt;0,(D65-G65-#REF!),D65-L65)</f>
        <v>#N/A</v>
      </c>
      <c r="N65" s="218" t="e">
        <f>'IMSS REAL'!AL65</f>
        <v>#N/A</v>
      </c>
    </row>
    <row r="66" spans="1:14" ht="12.75" customHeight="1" x14ac:dyDescent="0.25">
      <c r="A66" s="219">
        <f t="shared" si="10"/>
        <v>60</v>
      </c>
      <c r="B66" s="115" t="str">
        <f>NOMINA!B66</f>
        <v>Empleado 60</v>
      </c>
      <c r="C66" s="115" t="str">
        <f>NOMINA!C66</f>
        <v>Emp 060</v>
      </c>
      <c r="D66" s="116">
        <f>+NOMINA!D66</f>
        <v>0</v>
      </c>
      <c r="E66" s="117">
        <v>30</v>
      </c>
      <c r="F66" s="118">
        <f t="shared" si="11"/>
        <v>0</v>
      </c>
      <c r="G66" s="79">
        <f t="shared" si="12"/>
        <v>0</v>
      </c>
      <c r="H66" s="80" t="e">
        <f>(G66-VLOOKUP(G66,TABLAS!$A$7:$D$14,1))*VLOOKUP(G66,TABLAS!$A$7:$D$14,4)+VLOOKUP(G66,TABLAS!$A$7:$D$14,3)</f>
        <v>#N/A</v>
      </c>
      <c r="I66" s="79" t="e">
        <f>+VLOOKUP(G66,TABLAS!#REF!,3)</f>
        <v>#REF!</v>
      </c>
      <c r="J66" s="79" t="e">
        <f t="shared" si="13"/>
        <v>#REF!</v>
      </c>
      <c r="K66" s="79" t="e">
        <f t="shared" si="14"/>
        <v>#N/A</v>
      </c>
      <c r="L66" s="81" t="e">
        <f t="shared" si="15"/>
        <v>#REF!</v>
      </c>
      <c r="M66" s="80" t="e">
        <f>+IF(K66&gt;0,(D66-G66-#REF!),D66-L66)</f>
        <v>#N/A</v>
      </c>
      <c r="N66" s="218" t="e">
        <f>'IMSS REAL'!AL66</f>
        <v>#N/A</v>
      </c>
    </row>
    <row r="67" spans="1:14" ht="12.75" customHeight="1" x14ac:dyDescent="0.25">
      <c r="A67" s="219">
        <f t="shared" si="10"/>
        <v>61</v>
      </c>
      <c r="B67" s="115" t="str">
        <f>NOMINA!B67</f>
        <v>Empleado 61</v>
      </c>
      <c r="C67" s="115" t="str">
        <f>NOMINA!C67</f>
        <v>Emp 061</v>
      </c>
      <c r="D67" s="116">
        <f>+NOMINA!D67</f>
        <v>0</v>
      </c>
      <c r="E67" s="117">
        <v>30</v>
      </c>
      <c r="F67" s="118">
        <f t="shared" si="11"/>
        <v>0</v>
      </c>
      <c r="G67" s="79">
        <f t="shared" si="12"/>
        <v>0</v>
      </c>
      <c r="H67" s="80" t="e">
        <f>(G67-VLOOKUP(G67,TABLAS!$A$7:$D$14,1))*VLOOKUP(G67,TABLAS!$A$7:$D$14,4)+VLOOKUP(G67,TABLAS!$A$7:$D$14,3)</f>
        <v>#N/A</v>
      </c>
      <c r="I67" s="79" t="e">
        <f>+VLOOKUP(G67,TABLAS!#REF!,3)</f>
        <v>#REF!</v>
      </c>
      <c r="J67" s="79" t="e">
        <f t="shared" si="13"/>
        <v>#REF!</v>
      </c>
      <c r="K67" s="79" t="e">
        <f t="shared" si="14"/>
        <v>#N/A</v>
      </c>
      <c r="L67" s="81" t="e">
        <f t="shared" si="15"/>
        <v>#REF!</v>
      </c>
      <c r="M67" s="80" t="e">
        <f>+IF(K67&gt;0,(D67-G67-#REF!),D67-L67)</f>
        <v>#N/A</v>
      </c>
      <c r="N67" s="218" t="e">
        <f>'IMSS REAL'!AL67</f>
        <v>#N/A</v>
      </c>
    </row>
    <row r="68" spans="1:14" ht="12.75" customHeight="1" x14ac:dyDescent="0.25">
      <c r="A68" s="219">
        <f t="shared" si="10"/>
        <v>62</v>
      </c>
      <c r="B68" s="115" t="str">
        <f>NOMINA!B68</f>
        <v>Empleado 62</v>
      </c>
      <c r="C68" s="115" t="str">
        <f>NOMINA!C68</f>
        <v>Emp 062</v>
      </c>
      <c r="D68" s="116">
        <f>+NOMINA!D68</f>
        <v>0</v>
      </c>
      <c r="E68" s="117">
        <v>30</v>
      </c>
      <c r="F68" s="118">
        <f t="shared" si="11"/>
        <v>0</v>
      </c>
      <c r="G68" s="79">
        <f t="shared" si="12"/>
        <v>0</v>
      </c>
      <c r="H68" s="80" t="e">
        <f>(G68-VLOOKUP(G68,TABLAS!$A$7:$D$14,1))*VLOOKUP(G68,TABLAS!$A$7:$D$14,4)+VLOOKUP(G68,TABLAS!$A$7:$D$14,3)</f>
        <v>#N/A</v>
      </c>
      <c r="I68" s="79" t="e">
        <f>+VLOOKUP(G68,TABLAS!#REF!,3)</f>
        <v>#REF!</v>
      </c>
      <c r="J68" s="79" t="e">
        <f t="shared" si="13"/>
        <v>#REF!</v>
      </c>
      <c r="K68" s="79" t="e">
        <f t="shared" si="14"/>
        <v>#N/A</v>
      </c>
      <c r="L68" s="81" t="e">
        <f t="shared" si="15"/>
        <v>#REF!</v>
      </c>
      <c r="M68" s="80" t="e">
        <f>+IF(K68&gt;0,(D68-G68-#REF!),D68-L68)</f>
        <v>#N/A</v>
      </c>
      <c r="N68" s="218" t="e">
        <f>'IMSS REAL'!AL68</f>
        <v>#N/A</v>
      </c>
    </row>
    <row r="69" spans="1:14" ht="12.75" customHeight="1" x14ac:dyDescent="0.25">
      <c r="A69" s="219">
        <f t="shared" si="10"/>
        <v>63</v>
      </c>
      <c r="B69" s="115" t="str">
        <f>NOMINA!B69</f>
        <v>Empleado 63</v>
      </c>
      <c r="C69" s="115" t="str">
        <f>NOMINA!C69</f>
        <v>Emp 063</v>
      </c>
      <c r="D69" s="116">
        <f>+NOMINA!D69</f>
        <v>0</v>
      </c>
      <c r="E69" s="117">
        <v>30</v>
      </c>
      <c r="F69" s="118">
        <f t="shared" si="11"/>
        <v>0</v>
      </c>
      <c r="G69" s="79">
        <f t="shared" si="12"/>
        <v>0</v>
      </c>
      <c r="H69" s="80" t="e">
        <f>(G69-VLOOKUP(G69,TABLAS!$A$7:$D$14,1))*VLOOKUP(G69,TABLAS!$A$7:$D$14,4)+VLOOKUP(G69,TABLAS!$A$7:$D$14,3)</f>
        <v>#N/A</v>
      </c>
      <c r="I69" s="79" t="e">
        <f>+VLOOKUP(G69,TABLAS!#REF!,3)</f>
        <v>#REF!</v>
      </c>
      <c r="J69" s="79" t="e">
        <f t="shared" si="13"/>
        <v>#REF!</v>
      </c>
      <c r="K69" s="79" t="e">
        <f t="shared" si="14"/>
        <v>#N/A</v>
      </c>
      <c r="L69" s="81" t="e">
        <f t="shared" si="15"/>
        <v>#REF!</v>
      </c>
      <c r="M69" s="80" t="e">
        <f>+IF(K69&gt;0,(D69-G69-#REF!),D69-L69)</f>
        <v>#N/A</v>
      </c>
      <c r="N69" s="218" t="e">
        <f>'IMSS REAL'!AL69</f>
        <v>#N/A</v>
      </c>
    </row>
    <row r="70" spans="1:14" ht="12.75" customHeight="1" x14ac:dyDescent="0.25">
      <c r="A70" s="219">
        <f t="shared" si="10"/>
        <v>64</v>
      </c>
      <c r="B70" s="115" t="str">
        <f>NOMINA!B70</f>
        <v>Empleado 64</v>
      </c>
      <c r="C70" s="115" t="str">
        <f>NOMINA!C70</f>
        <v>Emp 064</v>
      </c>
      <c r="D70" s="116">
        <f>+NOMINA!D70</f>
        <v>0</v>
      </c>
      <c r="E70" s="117">
        <v>30</v>
      </c>
      <c r="F70" s="118">
        <f t="shared" si="11"/>
        <v>0</v>
      </c>
      <c r="G70" s="79">
        <f t="shared" si="12"/>
        <v>0</v>
      </c>
      <c r="H70" s="80" t="e">
        <f>(G70-VLOOKUP(G70,TABLAS!$A$7:$D$14,1))*VLOOKUP(G70,TABLAS!$A$7:$D$14,4)+VLOOKUP(G70,TABLAS!$A$7:$D$14,3)</f>
        <v>#N/A</v>
      </c>
      <c r="I70" s="79" t="e">
        <f>+VLOOKUP(G70,TABLAS!#REF!,3)</f>
        <v>#REF!</v>
      </c>
      <c r="J70" s="79" t="e">
        <f t="shared" si="13"/>
        <v>#REF!</v>
      </c>
      <c r="K70" s="79" t="e">
        <f t="shared" si="14"/>
        <v>#N/A</v>
      </c>
      <c r="L70" s="81" t="e">
        <f t="shared" si="15"/>
        <v>#REF!</v>
      </c>
      <c r="M70" s="80" t="e">
        <f>+IF(K70&gt;0,(D70-G70-#REF!),D70-L70)</f>
        <v>#N/A</v>
      </c>
      <c r="N70" s="218" t="e">
        <f>'IMSS REAL'!AL70</f>
        <v>#N/A</v>
      </c>
    </row>
    <row r="71" spans="1:14" ht="12.75" customHeight="1" x14ac:dyDescent="0.25">
      <c r="A71" s="219">
        <f t="shared" si="10"/>
        <v>65</v>
      </c>
      <c r="B71" s="115" t="str">
        <f>NOMINA!B71</f>
        <v>Empleado 65</v>
      </c>
      <c r="C71" s="115" t="str">
        <f>NOMINA!C71</f>
        <v>Emp 065</v>
      </c>
      <c r="D71" s="116">
        <f>+NOMINA!D71</f>
        <v>0</v>
      </c>
      <c r="E71" s="117">
        <v>30</v>
      </c>
      <c r="F71" s="118">
        <f t="shared" si="11"/>
        <v>0</v>
      </c>
      <c r="G71" s="79">
        <f t="shared" si="12"/>
        <v>0</v>
      </c>
      <c r="H71" s="80" t="e">
        <f>(G71-VLOOKUP(G71,TABLAS!$A$7:$D$14,1))*VLOOKUP(G71,TABLAS!$A$7:$D$14,4)+VLOOKUP(G71,TABLAS!$A$7:$D$14,3)</f>
        <v>#N/A</v>
      </c>
      <c r="I71" s="79" t="e">
        <f>+VLOOKUP(G71,TABLAS!#REF!,3)</f>
        <v>#REF!</v>
      </c>
      <c r="J71" s="79" t="e">
        <f t="shared" si="13"/>
        <v>#REF!</v>
      </c>
      <c r="K71" s="79" t="e">
        <f t="shared" si="14"/>
        <v>#N/A</v>
      </c>
      <c r="L71" s="81" t="e">
        <f t="shared" si="15"/>
        <v>#REF!</v>
      </c>
      <c r="M71" s="80" t="e">
        <f>+IF(K71&gt;0,(D71-G71-#REF!),D71-L71)</f>
        <v>#N/A</v>
      </c>
      <c r="N71" s="218" t="e">
        <f>'IMSS REAL'!AL71</f>
        <v>#N/A</v>
      </c>
    </row>
    <row r="72" spans="1:14" ht="12.75" customHeight="1" x14ac:dyDescent="0.25">
      <c r="A72" s="219">
        <f t="shared" si="10"/>
        <v>66</v>
      </c>
      <c r="B72" s="115" t="str">
        <f>NOMINA!B72</f>
        <v>Empleado 66</v>
      </c>
      <c r="C72" s="115" t="str">
        <f>NOMINA!C72</f>
        <v>Emp 066</v>
      </c>
      <c r="D72" s="116">
        <f>+NOMINA!D72</f>
        <v>0</v>
      </c>
      <c r="E72" s="117">
        <v>30</v>
      </c>
      <c r="F72" s="118">
        <f t="shared" si="11"/>
        <v>0</v>
      </c>
      <c r="G72" s="79">
        <f t="shared" si="12"/>
        <v>0</v>
      </c>
      <c r="H72" s="80" t="e">
        <f>(G72-VLOOKUP(G72,TABLAS!$A$7:$D$14,1))*VLOOKUP(G72,TABLAS!$A$7:$D$14,4)+VLOOKUP(G72,TABLAS!$A$7:$D$14,3)</f>
        <v>#N/A</v>
      </c>
      <c r="I72" s="79" t="e">
        <f>+VLOOKUP(G72,TABLAS!#REF!,3)</f>
        <v>#REF!</v>
      </c>
      <c r="J72" s="79" t="e">
        <f t="shared" si="13"/>
        <v>#REF!</v>
      </c>
      <c r="K72" s="79" t="e">
        <f t="shared" si="14"/>
        <v>#N/A</v>
      </c>
      <c r="L72" s="81" t="e">
        <f t="shared" si="15"/>
        <v>#REF!</v>
      </c>
      <c r="M72" s="80" t="e">
        <f>+IF(K72&gt;0,(D72-G72-#REF!),D72-L72)</f>
        <v>#N/A</v>
      </c>
      <c r="N72" s="218" t="e">
        <f>'IMSS REAL'!AL72</f>
        <v>#N/A</v>
      </c>
    </row>
    <row r="73" spans="1:14" ht="12.75" customHeight="1" x14ac:dyDescent="0.25">
      <c r="A73" s="219">
        <f t="shared" ref="A73:A104" si="16">A72+1</f>
        <v>67</v>
      </c>
      <c r="B73" s="115" t="str">
        <f>NOMINA!B73</f>
        <v>Empleado 67</v>
      </c>
      <c r="C73" s="115" t="str">
        <f>NOMINA!C73</f>
        <v>Emp 067</v>
      </c>
      <c r="D73" s="116">
        <f>+NOMINA!D73</f>
        <v>0</v>
      </c>
      <c r="E73" s="117">
        <v>30</v>
      </c>
      <c r="F73" s="118">
        <f t="shared" si="11"/>
        <v>0</v>
      </c>
      <c r="G73" s="79">
        <f t="shared" si="12"/>
        <v>0</v>
      </c>
      <c r="H73" s="80" t="e">
        <f>(G73-VLOOKUP(G73,TABLAS!$A$7:$D$14,1))*VLOOKUP(G73,TABLAS!$A$7:$D$14,4)+VLOOKUP(G73,TABLAS!$A$7:$D$14,3)</f>
        <v>#N/A</v>
      </c>
      <c r="I73" s="79" t="e">
        <f>+VLOOKUP(G73,TABLAS!#REF!,3)</f>
        <v>#REF!</v>
      </c>
      <c r="J73" s="79" t="e">
        <f t="shared" si="13"/>
        <v>#REF!</v>
      </c>
      <c r="K73" s="79" t="e">
        <f t="shared" si="14"/>
        <v>#N/A</v>
      </c>
      <c r="L73" s="81" t="e">
        <f t="shared" si="15"/>
        <v>#REF!</v>
      </c>
      <c r="M73" s="80" t="e">
        <f>+IF(K73&gt;0,(D73-G73-#REF!),D73-L73)</f>
        <v>#N/A</v>
      </c>
      <c r="N73" s="218" t="e">
        <f>'IMSS REAL'!AL73</f>
        <v>#N/A</v>
      </c>
    </row>
    <row r="74" spans="1:14" ht="12.75" customHeight="1" x14ac:dyDescent="0.25">
      <c r="A74" s="219">
        <f t="shared" si="16"/>
        <v>68</v>
      </c>
      <c r="B74" s="115" t="str">
        <f>NOMINA!B74</f>
        <v>Empleado 68</v>
      </c>
      <c r="C74" s="115" t="str">
        <f>NOMINA!C74</f>
        <v>Emp 068</v>
      </c>
      <c r="D74" s="116">
        <f>+NOMINA!D74</f>
        <v>0</v>
      </c>
      <c r="E74" s="117">
        <v>30</v>
      </c>
      <c r="F74" s="118">
        <f t="shared" si="11"/>
        <v>0</v>
      </c>
      <c r="G74" s="79">
        <f t="shared" si="12"/>
        <v>0</v>
      </c>
      <c r="H74" s="80" t="e">
        <f>(G74-VLOOKUP(G74,TABLAS!$A$7:$D$14,1))*VLOOKUP(G74,TABLAS!$A$7:$D$14,4)+VLOOKUP(G74,TABLAS!$A$7:$D$14,3)</f>
        <v>#N/A</v>
      </c>
      <c r="I74" s="79" t="e">
        <f>+VLOOKUP(G74,TABLAS!#REF!,3)</f>
        <v>#REF!</v>
      </c>
      <c r="J74" s="79" t="e">
        <f t="shared" si="13"/>
        <v>#REF!</v>
      </c>
      <c r="K74" s="79" t="e">
        <f t="shared" si="14"/>
        <v>#N/A</v>
      </c>
      <c r="L74" s="81" t="e">
        <f t="shared" si="15"/>
        <v>#REF!</v>
      </c>
      <c r="M74" s="80" t="e">
        <f>+IF(K74&gt;0,(D74-G74-#REF!),D74-L74)</f>
        <v>#N/A</v>
      </c>
      <c r="N74" s="218" t="e">
        <f>'IMSS REAL'!AL74</f>
        <v>#N/A</v>
      </c>
    </row>
    <row r="75" spans="1:14" ht="12.75" customHeight="1" x14ac:dyDescent="0.25">
      <c r="A75" s="219">
        <f t="shared" si="16"/>
        <v>69</v>
      </c>
      <c r="B75" s="115" t="str">
        <f>NOMINA!B75</f>
        <v>Empleado 69</v>
      </c>
      <c r="C75" s="115" t="str">
        <f>NOMINA!C75</f>
        <v>Emp 069</v>
      </c>
      <c r="D75" s="116">
        <f>+NOMINA!D75</f>
        <v>0</v>
      </c>
      <c r="E75" s="117">
        <v>30</v>
      </c>
      <c r="F75" s="118">
        <f t="shared" si="11"/>
        <v>0</v>
      </c>
      <c r="G75" s="79">
        <f t="shared" si="12"/>
        <v>0</v>
      </c>
      <c r="H75" s="80" t="e">
        <f>(G75-VLOOKUP(G75,TABLAS!$A$7:$D$14,1))*VLOOKUP(G75,TABLAS!$A$7:$D$14,4)+VLOOKUP(G75,TABLAS!$A$7:$D$14,3)</f>
        <v>#N/A</v>
      </c>
      <c r="I75" s="79" t="e">
        <f>+VLOOKUP(G75,TABLAS!#REF!,3)</f>
        <v>#REF!</v>
      </c>
      <c r="J75" s="79" t="e">
        <f t="shared" si="13"/>
        <v>#REF!</v>
      </c>
      <c r="K75" s="79" t="e">
        <f t="shared" si="14"/>
        <v>#N/A</v>
      </c>
      <c r="L75" s="81" t="e">
        <f t="shared" si="15"/>
        <v>#REF!</v>
      </c>
      <c r="M75" s="80" t="e">
        <f>+IF(K75&gt;0,(D75-G75-#REF!),D75-L75)</f>
        <v>#N/A</v>
      </c>
      <c r="N75" s="218" t="e">
        <f>'IMSS REAL'!AL75</f>
        <v>#N/A</v>
      </c>
    </row>
    <row r="76" spans="1:14" ht="12.75" customHeight="1" x14ac:dyDescent="0.25">
      <c r="A76" s="219">
        <f t="shared" si="16"/>
        <v>70</v>
      </c>
      <c r="B76" s="115" t="str">
        <f>NOMINA!B76</f>
        <v>Empleado 70</v>
      </c>
      <c r="C76" s="115" t="str">
        <f>NOMINA!C76</f>
        <v>Emp 070</v>
      </c>
      <c r="D76" s="116">
        <f>+NOMINA!D76</f>
        <v>0</v>
      </c>
      <c r="E76" s="117">
        <v>30</v>
      </c>
      <c r="F76" s="118">
        <f t="shared" si="11"/>
        <v>0</v>
      </c>
      <c r="G76" s="79">
        <f t="shared" si="12"/>
        <v>0</v>
      </c>
      <c r="H76" s="80" t="e">
        <f>(G76-VLOOKUP(G76,TABLAS!$A$7:$D$14,1))*VLOOKUP(G76,TABLAS!$A$7:$D$14,4)+VLOOKUP(G76,TABLAS!$A$7:$D$14,3)</f>
        <v>#N/A</v>
      </c>
      <c r="I76" s="79" t="e">
        <f>+VLOOKUP(G76,TABLAS!#REF!,3)</f>
        <v>#REF!</v>
      </c>
      <c r="J76" s="79" t="e">
        <f t="shared" si="13"/>
        <v>#REF!</v>
      </c>
      <c r="K76" s="79" t="e">
        <f t="shared" si="14"/>
        <v>#N/A</v>
      </c>
      <c r="L76" s="81" t="e">
        <f t="shared" si="15"/>
        <v>#REF!</v>
      </c>
      <c r="M76" s="80" t="e">
        <f>+IF(K76&gt;0,(D76-G76-#REF!),D76-L76)</f>
        <v>#N/A</v>
      </c>
      <c r="N76" s="218" t="e">
        <f>'IMSS REAL'!AL76</f>
        <v>#N/A</v>
      </c>
    </row>
    <row r="77" spans="1:14" ht="12.75" customHeight="1" x14ac:dyDescent="0.25">
      <c r="A77" s="219">
        <f t="shared" si="16"/>
        <v>71</v>
      </c>
      <c r="B77" s="115" t="str">
        <f>NOMINA!B77</f>
        <v>Empleado 71</v>
      </c>
      <c r="C77" s="115" t="str">
        <f>NOMINA!C77</f>
        <v>Emp 071</v>
      </c>
      <c r="D77" s="116">
        <f>+NOMINA!D77</f>
        <v>0</v>
      </c>
      <c r="E77" s="117">
        <v>30</v>
      </c>
      <c r="F77" s="118">
        <f t="shared" si="11"/>
        <v>0</v>
      </c>
      <c r="G77" s="79">
        <f t="shared" si="12"/>
        <v>0</v>
      </c>
      <c r="H77" s="80" t="e">
        <f>(G77-VLOOKUP(G77,TABLAS!$A$7:$D$14,1))*VLOOKUP(G77,TABLAS!$A$7:$D$14,4)+VLOOKUP(G77,TABLAS!$A$7:$D$14,3)</f>
        <v>#N/A</v>
      </c>
      <c r="I77" s="79" t="e">
        <f>+VLOOKUP(G77,TABLAS!#REF!,3)</f>
        <v>#REF!</v>
      </c>
      <c r="J77" s="79" t="e">
        <f t="shared" si="13"/>
        <v>#REF!</v>
      </c>
      <c r="K77" s="79" t="e">
        <f t="shared" si="14"/>
        <v>#N/A</v>
      </c>
      <c r="L77" s="81" t="e">
        <f t="shared" si="15"/>
        <v>#REF!</v>
      </c>
      <c r="M77" s="80" t="e">
        <f>+IF(K77&gt;0,(D77-G77-#REF!),D77-L77)</f>
        <v>#N/A</v>
      </c>
      <c r="N77" s="218" t="e">
        <f>'IMSS REAL'!AL77</f>
        <v>#N/A</v>
      </c>
    </row>
    <row r="78" spans="1:14" ht="12.75" customHeight="1" x14ac:dyDescent="0.25">
      <c r="A78" s="219">
        <f t="shared" si="16"/>
        <v>72</v>
      </c>
      <c r="B78" s="115" t="str">
        <f>NOMINA!B78</f>
        <v>Empleado 72</v>
      </c>
      <c r="C78" s="115" t="str">
        <f>NOMINA!C78</f>
        <v>Emp 072</v>
      </c>
      <c r="D78" s="116">
        <f>+NOMINA!D78</f>
        <v>0</v>
      </c>
      <c r="E78" s="117">
        <v>30</v>
      </c>
      <c r="F78" s="118">
        <f t="shared" si="11"/>
        <v>0</v>
      </c>
      <c r="G78" s="79">
        <f t="shared" si="12"/>
        <v>0</v>
      </c>
      <c r="H78" s="80" t="e">
        <f>(G78-VLOOKUP(G78,TABLAS!$A$7:$D$14,1))*VLOOKUP(G78,TABLAS!$A$7:$D$14,4)+VLOOKUP(G78,TABLAS!$A$7:$D$14,3)</f>
        <v>#N/A</v>
      </c>
      <c r="I78" s="79" t="e">
        <f>+VLOOKUP(G78,TABLAS!#REF!,3)</f>
        <v>#REF!</v>
      </c>
      <c r="J78" s="79" t="e">
        <f t="shared" si="13"/>
        <v>#REF!</v>
      </c>
      <c r="K78" s="79" t="e">
        <f t="shared" si="14"/>
        <v>#N/A</v>
      </c>
      <c r="L78" s="81" t="e">
        <f t="shared" si="15"/>
        <v>#REF!</v>
      </c>
      <c r="M78" s="80" t="e">
        <f>+IF(K78&gt;0,(D78-G78-#REF!),D78-L78)</f>
        <v>#N/A</v>
      </c>
      <c r="N78" s="218" t="e">
        <f>'IMSS REAL'!AL78</f>
        <v>#N/A</v>
      </c>
    </row>
    <row r="79" spans="1:14" ht="12.75" customHeight="1" x14ac:dyDescent="0.25">
      <c r="A79" s="219">
        <f t="shared" si="16"/>
        <v>73</v>
      </c>
      <c r="B79" s="115" t="str">
        <f>NOMINA!B79</f>
        <v>Empleado 73</v>
      </c>
      <c r="C79" s="115" t="str">
        <f>NOMINA!C79</f>
        <v>Emp 073</v>
      </c>
      <c r="D79" s="116">
        <f>+NOMINA!D79</f>
        <v>0</v>
      </c>
      <c r="E79" s="117">
        <v>30</v>
      </c>
      <c r="F79" s="118">
        <f t="shared" si="11"/>
        <v>0</v>
      </c>
      <c r="G79" s="79">
        <f t="shared" si="12"/>
        <v>0</v>
      </c>
      <c r="H79" s="80" t="e">
        <f>(G79-VLOOKUP(G79,TABLAS!$A$7:$D$14,1))*VLOOKUP(G79,TABLAS!$A$7:$D$14,4)+VLOOKUP(G79,TABLAS!$A$7:$D$14,3)</f>
        <v>#N/A</v>
      </c>
      <c r="I79" s="79" t="e">
        <f>+VLOOKUP(G79,TABLAS!#REF!,3)</f>
        <v>#REF!</v>
      </c>
      <c r="J79" s="79" t="e">
        <f t="shared" si="13"/>
        <v>#REF!</v>
      </c>
      <c r="K79" s="79" t="e">
        <f t="shared" si="14"/>
        <v>#N/A</v>
      </c>
      <c r="L79" s="81" t="e">
        <f t="shared" si="15"/>
        <v>#REF!</v>
      </c>
      <c r="M79" s="80" t="e">
        <f>+IF(K79&gt;0,(D79-G79-#REF!),D79-L79)</f>
        <v>#N/A</v>
      </c>
      <c r="N79" s="218" t="e">
        <f>'IMSS REAL'!AL79</f>
        <v>#N/A</v>
      </c>
    </row>
    <row r="80" spans="1:14" ht="12.75" customHeight="1" x14ac:dyDescent="0.25">
      <c r="A80" s="219">
        <f t="shared" si="16"/>
        <v>74</v>
      </c>
      <c r="B80" s="115" t="str">
        <f>NOMINA!B80</f>
        <v>Empleado 74</v>
      </c>
      <c r="C80" s="115" t="str">
        <f>NOMINA!C80</f>
        <v>Emp 074</v>
      </c>
      <c r="D80" s="116">
        <f>+NOMINA!D80</f>
        <v>0</v>
      </c>
      <c r="E80" s="117">
        <v>30</v>
      </c>
      <c r="F80" s="118">
        <f t="shared" si="11"/>
        <v>0</v>
      </c>
      <c r="G80" s="79">
        <f t="shared" si="12"/>
        <v>0</v>
      </c>
      <c r="H80" s="80" t="e">
        <f>(G80-VLOOKUP(G80,TABLAS!$A$7:$D$14,1))*VLOOKUP(G80,TABLAS!$A$7:$D$14,4)+VLOOKUP(G80,TABLAS!$A$7:$D$14,3)</f>
        <v>#N/A</v>
      </c>
      <c r="I80" s="79" t="e">
        <f>+VLOOKUP(G80,TABLAS!#REF!,3)</f>
        <v>#REF!</v>
      </c>
      <c r="J80" s="79" t="e">
        <f t="shared" si="13"/>
        <v>#REF!</v>
      </c>
      <c r="K80" s="79" t="e">
        <f t="shared" si="14"/>
        <v>#N/A</v>
      </c>
      <c r="L80" s="81" t="e">
        <f t="shared" si="15"/>
        <v>#REF!</v>
      </c>
      <c r="M80" s="80" t="e">
        <f>+IF(K80&gt;0,(D80-G80-#REF!),D80-L80)</f>
        <v>#N/A</v>
      </c>
      <c r="N80" s="218" t="e">
        <f>'IMSS REAL'!AL80</f>
        <v>#N/A</v>
      </c>
    </row>
    <row r="81" spans="1:14" ht="12.75" customHeight="1" x14ac:dyDescent="0.25">
      <c r="A81" s="219">
        <f t="shared" si="16"/>
        <v>75</v>
      </c>
      <c r="B81" s="115" t="str">
        <f>NOMINA!B81</f>
        <v>Empleado 75</v>
      </c>
      <c r="C81" s="115" t="str">
        <f>NOMINA!C81</f>
        <v>Emp 075</v>
      </c>
      <c r="D81" s="116">
        <f>+NOMINA!D81</f>
        <v>0</v>
      </c>
      <c r="E81" s="117">
        <v>30</v>
      </c>
      <c r="F81" s="118">
        <f t="shared" si="11"/>
        <v>0</v>
      </c>
      <c r="G81" s="79">
        <f t="shared" si="12"/>
        <v>0</v>
      </c>
      <c r="H81" s="80" t="e">
        <f>(G81-VLOOKUP(G81,TABLAS!$A$7:$D$14,1))*VLOOKUP(G81,TABLAS!$A$7:$D$14,4)+VLOOKUP(G81,TABLAS!$A$7:$D$14,3)</f>
        <v>#N/A</v>
      </c>
      <c r="I81" s="79" t="e">
        <f>+VLOOKUP(G81,TABLAS!#REF!,3)</f>
        <v>#REF!</v>
      </c>
      <c r="J81" s="79" t="e">
        <f t="shared" si="13"/>
        <v>#REF!</v>
      </c>
      <c r="K81" s="79" t="e">
        <f t="shared" si="14"/>
        <v>#N/A</v>
      </c>
      <c r="L81" s="81" t="e">
        <f t="shared" si="15"/>
        <v>#REF!</v>
      </c>
      <c r="M81" s="80" t="e">
        <f>+IF(K81&gt;0,(D81-G81-#REF!),D81-L81)</f>
        <v>#N/A</v>
      </c>
      <c r="N81" s="218" t="e">
        <f>'IMSS REAL'!AL81</f>
        <v>#N/A</v>
      </c>
    </row>
    <row r="82" spans="1:14" ht="12.75" customHeight="1" x14ac:dyDescent="0.25">
      <c r="A82" s="219">
        <f t="shared" si="16"/>
        <v>76</v>
      </c>
      <c r="B82" s="115" t="str">
        <f>NOMINA!B82</f>
        <v>Empleado 76</v>
      </c>
      <c r="C82" s="115" t="str">
        <f>NOMINA!C82</f>
        <v>Emp 076</v>
      </c>
      <c r="D82" s="116">
        <f>+NOMINA!D82</f>
        <v>0</v>
      </c>
      <c r="E82" s="117">
        <v>30</v>
      </c>
      <c r="F82" s="118">
        <f t="shared" si="11"/>
        <v>0</v>
      </c>
      <c r="G82" s="79">
        <f t="shared" si="12"/>
        <v>0</v>
      </c>
      <c r="H82" s="80" t="e">
        <f>(G82-VLOOKUP(G82,TABLAS!$A$7:$D$14,1))*VLOOKUP(G82,TABLAS!$A$7:$D$14,4)+VLOOKUP(G82,TABLAS!$A$7:$D$14,3)</f>
        <v>#N/A</v>
      </c>
      <c r="I82" s="79" t="e">
        <f>+VLOOKUP(G82,TABLAS!#REF!,3)</f>
        <v>#REF!</v>
      </c>
      <c r="J82" s="79" t="e">
        <f t="shared" si="13"/>
        <v>#REF!</v>
      </c>
      <c r="K82" s="79" t="e">
        <f t="shared" si="14"/>
        <v>#N/A</v>
      </c>
      <c r="L82" s="81" t="e">
        <f t="shared" si="15"/>
        <v>#REF!</v>
      </c>
      <c r="M82" s="80" t="e">
        <f>+IF(K82&gt;0,(D82-G82-#REF!),D82-L82)</f>
        <v>#N/A</v>
      </c>
      <c r="N82" s="218" t="e">
        <f>'IMSS REAL'!AL82</f>
        <v>#N/A</v>
      </c>
    </row>
    <row r="83" spans="1:14" ht="12.75" customHeight="1" x14ac:dyDescent="0.25">
      <c r="A83" s="219">
        <f t="shared" si="16"/>
        <v>77</v>
      </c>
      <c r="B83" s="115" t="str">
        <f>NOMINA!B83</f>
        <v>Empleado 77</v>
      </c>
      <c r="C83" s="115" t="str">
        <f>NOMINA!C83</f>
        <v>Emp 077</v>
      </c>
      <c r="D83" s="116">
        <f>+NOMINA!D83</f>
        <v>0</v>
      </c>
      <c r="E83" s="117">
        <v>30</v>
      </c>
      <c r="F83" s="118">
        <f t="shared" si="11"/>
        <v>0</v>
      </c>
      <c r="G83" s="79">
        <f t="shared" si="12"/>
        <v>0</v>
      </c>
      <c r="H83" s="80" t="e">
        <f>(G83-VLOOKUP(G83,TABLAS!$A$7:$D$14,1))*VLOOKUP(G83,TABLAS!$A$7:$D$14,4)+VLOOKUP(G83,TABLAS!$A$7:$D$14,3)</f>
        <v>#N/A</v>
      </c>
      <c r="I83" s="79" t="e">
        <f>+VLOOKUP(G83,TABLAS!#REF!,3)</f>
        <v>#REF!</v>
      </c>
      <c r="J83" s="79" t="e">
        <f t="shared" si="13"/>
        <v>#REF!</v>
      </c>
      <c r="K83" s="79" t="e">
        <f t="shared" si="14"/>
        <v>#N/A</v>
      </c>
      <c r="L83" s="81" t="e">
        <f t="shared" si="15"/>
        <v>#REF!</v>
      </c>
      <c r="M83" s="80" t="e">
        <f>+IF(K83&gt;0,(D83-G83-#REF!),D83-L83)</f>
        <v>#N/A</v>
      </c>
      <c r="N83" s="218" t="e">
        <f>'IMSS REAL'!AL83</f>
        <v>#N/A</v>
      </c>
    </row>
    <row r="84" spans="1:14" ht="12.75" customHeight="1" x14ac:dyDescent="0.25">
      <c r="A84" s="219">
        <f t="shared" si="16"/>
        <v>78</v>
      </c>
      <c r="B84" s="115" t="str">
        <f>NOMINA!B84</f>
        <v>Empleado 78</v>
      </c>
      <c r="C84" s="115" t="str">
        <f>NOMINA!C84</f>
        <v>Emp 078</v>
      </c>
      <c r="D84" s="116">
        <f>+NOMINA!D84</f>
        <v>0</v>
      </c>
      <c r="E84" s="117">
        <v>30</v>
      </c>
      <c r="F84" s="118">
        <f t="shared" si="11"/>
        <v>0</v>
      </c>
      <c r="G84" s="79">
        <f t="shared" si="12"/>
        <v>0</v>
      </c>
      <c r="H84" s="80" t="e">
        <f>(G84-VLOOKUP(G84,TABLAS!$A$7:$D$14,1))*VLOOKUP(G84,TABLAS!$A$7:$D$14,4)+VLOOKUP(G84,TABLAS!$A$7:$D$14,3)</f>
        <v>#N/A</v>
      </c>
      <c r="I84" s="79" t="e">
        <f>+VLOOKUP(G84,TABLAS!#REF!,3)</f>
        <v>#REF!</v>
      </c>
      <c r="J84" s="79" t="e">
        <f t="shared" si="13"/>
        <v>#REF!</v>
      </c>
      <c r="K84" s="79" t="e">
        <f t="shared" si="14"/>
        <v>#N/A</v>
      </c>
      <c r="L84" s="81" t="e">
        <f t="shared" si="15"/>
        <v>#REF!</v>
      </c>
      <c r="M84" s="80" t="e">
        <f>+IF(K84&gt;0,(D84-G84-#REF!),D84-L84)</f>
        <v>#N/A</v>
      </c>
      <c r="N84" s="218" t="e">
        <f>'IMSS REAL'!AL84</f>
        <v>#N/A</v>
      </c>
    </row>
    <row r="85" spans="1:14" ht="12.75" customHeight="1" x14ac:dyDescent="0.25">
      <c r="A85" s="219">
        <f t="shared" si="16"/>
        <v>79</v>
      </c>
      <c r="B85" s="115" t="str">
        <f>NOMINA!B85</f>
        <v>Empleado 79</v>
      </c>
      <c r="C85" s="115" t="str">
        <f>NOMINA!C85</f>
        <v>Emp 079</v>
      </c>
      <c r="D85" s="116">
        <f>+NOMINA!D85</f>
        <v>0</v>
      </c>
      <c r="E85" s="117">
        <v>30</v>
      </c>
      <c r="F85" s="118">
        <f t="shared" si="11"/>
        <v>0</v>
      </c>
      <c r="G85" s="79">
        <f t="shared" si="12"/>
        <v>0</v>
      </c>
      <c r="H85" s="80" t="e">
        <f>(G85-VLOOKUP(G85,TABLAS!$A$7:$D$14,1))*VLOOKUP(G85,TABLAS!$A$7:$D$14,4)+VLOOKUP(G85,TABLAS!$A$7:$D$14,3)</f>
        <v>#N/A</v>
      </c>
      <c r="I85" s="79" t="e">
        <f>+VLOOKUP(G85,TABLAS!#REF!,3)</f>
        <v>#REF!</v>
      </c>
      <c r="J85" s="79" t="e">
        <f t="shared" si="13"/>
        <v>#REF!</v>
      </c>
      <c r="K85" s="79" t="e">
        <f t="shared" si="14"/>
        <v>#N/A</v>
      </c>
      <c r="L85" s="81" t="e">
        <f t="shared" si="15"/>
        <v>#REF!</v>
      </c>
      <c r="M85" s="80" t="e">
        <f>+IF(K85&gt;0,(D85-G85-#REF!),D85-L85)</f>
        <v>#N/A</v>
      </c>
      <c r="N85" s="218" t="e">
        <f>'IMSS REAL'!AL85</f>
        <v>#N/A</v>
      </c>
    </row>
    <row r="86" spans="1:14" ht="12.75" customHeight="1" x14ac:dyDescent="0.25">
      <c r="A86" s="219">
        <f t="shared" si="16"/>
        <v>80</v>
      </c>
      <c r="B86" s="115" t="str">
        <f>NOMINA!B86</f>
        <v>Empleado 80</v>
      </c>
      <c r="C86" s="115" t="str">
        <f>NOMINA!C86</f>
        <v>Emp 080</v>
      </c>
      <c r="D86" s="116">
        <f>+NOMINA!D86</f>
        <v>0</v>
      </c>
      <c r="E86" s="117">
        <v>30</v>
      </c>
      <c r="F86" s="118">
        <f t="shared" si="11"/>
        <v>0</v>
      </c>
      <c r="G86" s="79">
        <f t="shared" si="12"/>
        <v>0</v>
      </c>
      <c r="H86" s="80" t="e">
        <f>(G86-VLOOKUP(G86,TABLAS!$A$7:$D$14,1))*VLOOKUP(G86,TABLAS!$A$7:$D$14,4)+VLOOKUP(G86,TABLAS!$A$7:$D$14,3)</f>
        <v>#N/A</v>
      </c>
      <c r="I86" s="79" t="e">
        <f>+VLOOKUP(G86,TABLAS!#REF!,3)</f>
        <v>#REF!</v>
      </c>
      <c r="J86" s="79" t="e">
        <f t="shared" si="13"/>
        <v>#REF!</v>
      </c>
      <c r="K86" s="79" t="e">
        <f t="shared" si="14"/>
        <v>#N/A</v>
      </c>
      <c r="L86" s="81" t="e">
        <f t="shared" si="15"/>
        <v>#REF!</v>
      </c>
      <c r="M86" s="80" t="e">
        <f>+IF(K86&gt;0,(D86-G86-#REF!),D86-L86)</f>
        <v>#N/A</v>
      </c>
      <c r="N86" s="218" t="e">
        <f>'IMSS REAL'!AL86</f>
        <v>#N/A</v>
      </c>
    </row>
    <row r="87" spans="1:14" ht="12.75" customHeight="1" x14ac:dyDescent="0.25">
      <c r="A87" s="219">
        <f t="shared" si="16"/>
        <v>81</v>
      </c>
      <c r="B87" s="115" t="str">
        <f>NOMINA!B87</f>
        <v>Empleado 81</v>
      </c>
      <c r="C87" s="115" t="str">
        <f>NOMINA!C87</f>
        <v>Emp 081</v>
      </c>
      <c r="D87" s="116">
        <f>+NOMINA!D87</f>
        <v>0</v>
      </c>
      <c r="E87" s="117">
        <v>30</v>
      </c>
      <c r="F87" s="118">
        <f t="shared" ref="F87:F104" si="17">D87/E87</f>
        <v>0</v>
      </c>
      <c r="G87" s="79">
        <f t="shared" ref="G87:G104" si="18">+E87*F87</f>
        <v>0</v>
      </c>
      <c r="H87" s="80" t="e">
        <f>(G87-VLOOKUP(G87,TABLAS!$A$7:$D$14,1))*VLOOKUP(G87,TABLAS!$A$7:$D$14,4)+VLOOKUP(G87,TABLAS!$A$7:$D$14,3)</f>
        <v>#N/A</v>
      </c>
      <c r="I87" s="79" t="e">
        <f>+VLOOKUP(G87,TABLAS!#REF!,3)</f>
        <v>#REF!</v>
      </c>
      <c r="J87" s="79" t="e">
        <f t="shared" ref="J87:J104" si="19">+IF(I87&gt;H87,I87-H87,0)</f>
        <v>#REF!</v>
      </c>
      <c r="K87" s="79" t="e">
        <f t="shared" ref="K87:K104" si="20">+IF(H87&gt;I87,H87-I87,0)</f>
        <v>#N/A</v>
      </c>
      <c r="L87" s="81" t="e">
        <f t="shared" ref="L87:L104" si="21">+G87+J87-K87</f>
        <v>#REF!</v>
      </c>
      <c r="M87" s="80" t="e">
        <f>+IF(K87&gt;0,(D87-G87-#REF!),D87-L87)</f>
        <v>#N/A</v>
      </c>
      <c r="N87" s="218" t="e">
        <f>'IMSS REAL'!AL87</f>
        <v>#N/A</v>
      </c>
    </row>
    <row r="88" spans="1:14" ht="12.75" customHeight="1" x14ac:dyDescent="0.25">
      <c r="A88" s="219">
        <f t="shared" si="16"/>
        <v>82</v>
      </c>
      <c r="B88" s="115" t="str">
        <f>NOMINA!B88</f>
        <v>Empleado 82</v>
      </c>
      <c r="C88" s="115" t="str">
        <f>NOMINA!C88</f>
        <v>Emp 082</v>
      </c>
      <c r="D88" s="116">
        <f>+NOMINA!D88</f>
        <v>0</v>
      </c>
      <c r="E88" s="117">
        <v>30</v>
      </c>
      <c r="F88" s="118">
        <f t="shared" si="17"/>
        <v>0</v>
      </c>
      <c r="G88" s="79">
        <f t="shared" si="18"/>
        <v>0</v>
      </c>
      <c r="H88" s="80" t="e">
        <f>(G88-VLOOKUP(G88,TABLAS!$A$7:$D$14,1))*VLOOKUP(G88,TABLAS!$A$7:$D$14,4)+VLOOKUP(G88,TABLAS!$A$7:$D$14,3)</f>
        <v>#N/A</v>
      </c>
      <c r="I88" s="79" t="e">
        <f>+VLOOKUP(G88,TABLAS!#REF!,3)</f>
        <v>#REF!</v>
      </c>
      <c r="J88" s="79" t="e">
        <f t="shared" si="19"/>
        <v>#REF!</v>
      </c>
      <c r="K88" s="79" t="e">
        <f t="shared" si="20"/>
        <v>#N/A</v>
      </c>
      <c r="L88" s="81" t="e">
        <f t="shared" si="21"/>
        <v>#REF!</v>
      </c>
      <c r="M88" s="80" t="e">
        <f>+IF(K88&gt;0,(D88-G88-#REF!),D88-L88)</f>
        <v>#N/A</v>
      </c>
      <c r="N88" s="218" t="e">
        <f>'IMSS REAL'!AL88</f>
        <v>#N/A</v>
      </c>
    </row>
    <row r="89" spans="1:14" ht="12.75" customHeight="1" x14ac:dyDescent="0.25">
      <c r="A89" s="219">
        <f t="shared" si="16"/>
        <v>83</v>
      </c>
      <c r="B89" s="115" t="str">
        <f>NOMINA!B89</f>
        <v>Empleado 83</v>
      </c>
      <c r="C89" s="115" t="str">
        <f>NOMINA!C89</f>
        <v>Emp 083</v>
      </c>
      <c r="D89" s="116">
        <f>+NOMINA!D89</f>
        <v>0</v>
      </c>
      <c r="E89" s="117">
        <v>30</v>
      </c>
      <c r="F89" s="118">
        <f t="shared" si="17"/>
        <v>0</v>
      </c>
      <c r="G89" s="79">
        <f t="shared" si="18"/>
        <v>0</v>
      </c>
      <c r="H89" s="80" t="e">
        <f>(G89-VLOOKUP(G89,TABLAS!$A$7:$D$14,1))*VLOOKUP(G89,TABLAS!$A$7:$D$14,4)+VLOOKUP(G89,TABLAS!$A$7:$D$14,3)</f>
        <v>#N/A</v>
      </c>
      <c r="I89" s="79" t="e">
        <f>+VLOOKUP(G89,TABLAS!#REF!,3)</f>
        <v>#REF!</v>
      </c>
      <c r="J89" s="79" t="e">
        <f t="shared" si="19"/>
        <v>#REF!</v>
      </c>
      <c r="K89" s="79" t="e">
        <f t="shared" si="20"/>
        <v>#N/A</v>
      </c>
      <c r="L89" s="81" t="e">
        <f t="shared" si="21"/>
        <v>#REF!</v>
      </c>
      <c r="M89" s="80" t="e">
        <f>+IF(K89&gt;0,(D89-G89-#REF!),D89-L89)</f>
        <v>#N/A</v>
      </c>
      <c r="N89" s="218" t="e">
        <f>'IMSS REAL'!AL89</f>
        <v>#N/A</v>
      </c>
    </row>
    <row r="90" spans="1:14" ht="12.75" customHeight="1" x14ac:dyDescent="0.25">
      <c r="A90" s="219">
        <f t="shared" si="16"/>
        <v>84</v>
      </c>
      <c r="B90" s="115" t="str">
        <f>NOMINA!B90</f>
        <v>Empleado 84</v>
      </c>
      <c r="C90" s="115" t="str">
        <f>NOMINA!C90</f>
        <v>Emp 084</v>
      </c>
      <c r="D90" s="116">
        <f>+NOMINA!D90</f>
        <v>0</v>
      </c>
      <c r="E90" s="117">
        <v>30</v>
      </c>
      <c r="F90" s="118">
        <f t="shared" si="17"/>
        <v>0</v>
      </c>
      <c r="G90" s="79">
        <f t="shared" si="18"/>
        <v>0</v>
      </c>
      <c r="H90" s="80" t="e">
        <f>(G90-VLOOKUP(G90,TABLAS!$A$7:$D$14,1))*VLOOKUP(G90,TABLAS!$A$7:$D$14,4)+VLOOKUP(G90,TABLAS!$A$7:$D$14,3)</f>
        <v>#N/A</v>
      </c>
      <c r="I90" s="79" t="e">
        <f>+VLOOKUP(G90,TABLAS!#REF!,3)</f>
        <v>#REF!</v>
      </c>
      <c r="J90" s="79" t="e">
        <f t="shared" si="19"/>
        <v>#REF!</v>
      </c>
      <c r="K90" s="79" t="e">
        <f t="shared" si="20"/>
        <v>#N/A</v>
      </c>
      <c r="L90" s="81" t="e">
        <f t="shared" si="21"/>
        <v>#REF!</v>
      </c>
      <c r="M90" s="80" t="e">
        <f>+IF(K90&gt;0,(D90-G90-#REF!),D90-L90)</f>
        <v>#N/A</v>
      </c>
      <c r="N90" s="218" t="e">
        <f>'IMSS REAL'!AL90</f>
        <v>#N/A</v>
      </c>
    </row>
    <row r="91" spans="1:14" ht="12.75" customHeight="1" x14ac:dyDescent="0.25">
      <c r="A91" s="219">
        <f t="shared" si="16"/>
        <v>85</v>
      </c>
      <c r="B91" s="115" t="str">
        <f>NOMINA!B91</f>
        <v>Empleado 85</v>
      </c>
      <c r="C91" s="115" t="str">
        <f>NOMINA!C91</f>
        <v>Emp 085</v>
      </c>
      <c r="D91" s="116">
        <f>+NOMINA!D91</f>
        <v>0</v>
      </c>
      <c r="E91" s="117">
        <v>30</v>
      </c>
      <c r="F91" s="118">
        <f t="shared" si="17"/>
        <v>0</v>
      </c>
      <c r="G91" s="79">
        <f t="shared" si="18"/>
        <v>0</v>
      </c>
      <c r="H91" s="80" t="e">
        <f>(G91-VLOOKUP(G91,TABLAS!$A$7:$D$14,1))*VLOOKUP(G91,TABLAS!$A$7:$D$14,4)+VLOOKUP(G91,TABLAS!$A$7:$D$14,3)</f>
        <v>#N/A</v>
      </c>
      <c r="I91" s="79" t="e">
        <f>+VLOOKUP(G91,TABLAS!#REF!,3)</f>
        <v>#REF!</v>
      </c>
      <c r="J91" s="79" t="e">
        <f t="shared" si="19"/>
        <v>#REF!</v>
      </c>
      <c r="K91" s="79" t="e">
        <f t="shared" si="20"/>
        <v>#N/A</v>
      </c>
      <c r="L91" s="81" t="e">
        <f t="shared" si="21"/>
        <v>#REF!</v>
      </c>
      <c r="M91" s="80" t="e">
        <f>+IF(K91&gt;0,(D91-G91-#REF!),D91-L91)</f>
        <v>#N/A</v>
      </c>
      <c r="N91" s="218" t="e">
        <f>'IMSS REAL'!AL91</f>
        <v>#N/A</v>
      </c>
    </row>
    <row r="92" spans="1:14" ht="12.75" customHeight="1" x14ac:dyDescent="0.25">
      <c r="A92" s="219">
        <f t="shared" si="16"/>
        <v>86</v>
      </c>
      <c r="B92" s="115" t="str">
        <f>NOMINA!B92</f>
        <v>Empleado 86</v>
      </c>
      <c r="C92" s="115" t="str">
        <f>NOMINA!C92</f>
        <v>Emp 086</v>
      </c>
      <c r="D92" s="116">
        <f>+NOMINA!D92</f>
        <v>0</v>
      </c>
      <c r="E92" s="117">
        <v>30</v>
      </c>
      <c r="F92" s="118">
        <f t="shared" si="17"/>
        <v>0</v>
      </c>
      <c r="G92" s="79">
        <f t="shared" si="18"/>
        <v>0</v>
      </c>
      <c r="H92" s="80" t="e">
        <f>(G92-VLOOKUP(G92,TABLAS!$A$7:$D$14,1))*VLOOKUP(G92,TABLAS!$A$7:$D$14,4)+VLOOKUP(G92,TABLAS!$A$7:$D$14,3)</f>
        <v>#N/A</v>
      </c>
      <c r="I92" s="79" t="e">
        <f>+VLOOKUP(G92,TABLAS!#REF!,3)</f>
        <v>#REF!</v>
      </c>
      <c r="J92" s="79" t="e">
        <f t="shared" si="19"/>
        <v>#REF!</v>
      </c>
      <c r="K92" s="79" t="e">
        <f t="shared" si="20"/>
        <v>#N/A</v>
      </c>
      <c r="L92" s="81" t="e">
        <f t="shared" si="21"/>
        <v>#REF!</v>
      </c>
      <c r="M92" s="80" t="e">
        <f>+IF(K92&gt;0,(D92-G92-#REF!),D92-L92)</f>
        <v>#N/A</v>
      </c>
      <c r="N92" s="218" t="e">
        <f>'IMSS REAL'!AL92</f>
        <v>#N/A</v>
      </c>
    </row>
    <row r="93" spans="1:14" ht="12.75" customHeight="1" x14ac:dyDescent="0.25">
      <c r="A93" s="219">
        <f t="shared" si="16"/>
        <v>87</v>
      </c>
      <c r="B93" s="115" t="str">
        <f>NOMINA!B93</f>
        <v>Empleado 87</v>
      </c>
      <c r="C93" s="115" t="str">
        <f>NOMINA!C93</f>
        <v>Emp 087</v>
      </c>
      <c r="D93" s="116">
        <f>+NOMINA!D93</f>
        <v>0</v>
      </c>
      <c r="E93" s="117">
        <v>30</v>
      </c>
      <c r="F93" s="118">
        <f t="shared" si="17"/>
        <v>0</v>
      </c>
      <c r="G93" s="79">
        <f t="shared" si="18"/>
        <v>0</v>
      </c>
      <c r="H93" s="80" t="e">
        <f>(G93-VLOOKUP(G93,TABLAS!$A$7:$D$14,1))*VLOOKUP(G93,TABLAS!$A$7:$D$14,4)+VLOOKUP(G93,TABLAS!$A$7:$D$14,3)</f>
        <v>#N/A</v>
      </c>
      <c r="I93" s="79" t="e">
        <f>+VLOOKUP(G93,TABLAS!#REF!,3)</f>
        <v>#REF!</v>
      </c>
      <c r="J93" s="79" t="e">
        <f t="shared" si="19"/>
        <v>#REF!</v>
      </c>
      <c r="K93" s="79" t="e">
        <f t="shared" si="20"/>
        <v>#N/A</v>
      </c>
      <c r="L93" s="81" t="e">
        <f t="shared" si="21"/>
        <v>#REF!</v>
      </c>
      <c r="M93" s="80" t="e">
        <f>+IF(K93&gt;0,(D93-G93-#REF!),D93-L93)</f>
        <v>#N/A</v>
      </c>
      <c r="N93" s="218" t="e">
        <f>'IMSS REAL'!AL93</f>
        <v>#N/A</v>
      </c>
    </row>
    <row r="94" spans="1:14" ht="12.75" customHeight="1" x14ac:dyDescent="0.25">
      <c r="A94" s="219">
        <f t="shared" si="16"/>
        <v>88</v>
      </c>
      <c r="B94" s="115" t="str">
        <f>NOMINA!B94</f>
        <v>Empleado 88</v>
      </c>
      <c r="C94" s="115" t="str">
        <f>NOMINA!C94</f>
        <v>Emp 088</v>
      </c>
      <c r="D94" s="116">
        <f>+NOMINA!D94</f>
        <v>0</v>
      </c>
      <c r="E94" s="117">
        <v>30</v>
      </c>
      <c r="F94" s="118">
        <f t="shared" si="17"/>
        <v>0</v>
      </c>
      <c r="G94" s="79">
        <f t="shared" si="18"/>
        <v>0</v>
      </c>
      <c r="H94" s="80" t="e">
        <f>(G94-VLOOKUP(G94,TABLAS!$A$7:$D$14,1))*VLOOKUP(G94,TABLAS!$A$7:$D$14,4)+VLOOKUP(G94,TABLAS!$A$7:$D$14,3)</f>
        <v>#N/A</v>
      </c>
      <c r="I94" s="79" t="e">
        <f>+VLOOKUP(G94,TABLAS!#REF!,3)</f>
        <v>#REF!</v>
      </c>
      <c r="J94" s="79" t="e">
        <f t="shared" si="19"/>
        <v>#REF!</v>
      </c>
      <c r="K94" s="79" t="e">
        <f t="shared" si="20"/>
        <v>#N/A</v>
      </c>
      <c r="L94" s="81" t="e">
        <f t="shared" si="21"/>
        <v>#REF!</v>
      </c>
      <c r="M94" s="80" t="e">
        <f>+IF(K94&gt;0,(D94-G94-#REF!),D94-L94)</f>
        <v>#N/A</v>
      </c>
      <c r="N94" s="218" t="e">
        <f>'IMSS REAL'!AL94</f>
        <v>#N/A</v>
      </c>
    </row>
    <row r="95" spans="1:14" ht="12.75" customHeight="1" x14ac:dyDescent="0.25">
      <c r="A95" s="219">
        <f t="shared" si="16"/>
        <v>89</v>
      </c>
      <c r="B95" s="115" t="str">
        <f>NOMINA!B95</f>
        <v>Empleado 89</v>
      </c>
      <c r="C95" s="115" t="str">
        <f>NOMINA!C95</f>
        <v>Emp 089</v>
      </c>
      <c r="D95" s="116">
        <f>+NOMINA!D95</f>
        <v>0</v>
      </c>
      <c r="E95" s="117">
        <v>30</v>
      </c>
      <c r="F95" s="118">
        <f t="shared" si="17"/>
        <v>0</v>
      </c>
      <c r="G95" s="79">
        <f t="shared" si="18"/>
        <v>0</v>
      </c>
      <c r="H95" s="80" t="e">
        <f>(G95-VLOOKUP(G95,TABLAS!$A$7:$D$14,1))*VLOOKUP(G95,TABLAS!$A$7:$D$14,4)+VLOOKUP(G95,TABLAS!$A$7:$D$14,3)</f>
        <v>#N/A</v>
      </c>
      <c r="I95" s="79" t="e">
        <f>+VLOOKUP(G95,TABLAS!#REF!,3)</f>
        <v>#REF!</v>
      </c>
      <c r="J95" s="79" t="e">
        <f t="shared" si="19"/>
        <v>#REF!</v>
      </c>
      <c r="K95" s="79" t="e">
        <f t="shared" si="20"/>
        <v>#N/A</v>
      </c>
      <c r="L95" s="81" t="e">
        <f t="shared" si="21"/>
        <v>#REF!</v>
      </c>
      <c r="M95" s="80" t="e">
        <f>+IF(K95&gt;0,(D95-G95-#REF!),D95-L95)</f>
        <v>#N/A</v>
      </c>
      <c r="N95" s="218" t="e">
        <f>'IMSS REAL'!AL95</f>
        <v>#N/A</v>
      </c>
    </row>
    <row r="96" spans="1:14" ht="12.75" customHeight="1" x14ac:dyDescent="0.25">
      <c r="A96" s="219">
        <f t="shared" si="16"/>
        <v>90</v>
      </c>
      <c r="B96" s="115" t="str">
        <f>NOMINA!B96</f>
        <v>Empleado 90</v>
      </c>
      <c r="C96" s="115" t="str">
        <f>NOMINA!C96</f>
        <v>Emp 090</v>
      </c>
      <c r="D96" s="116">
        <f>+NOMINA!D96</f>
        <v>0</v>
      </c>
      <c r="E96" s="117">
        <v>30</v>
      </c>
      <c r="F96" s="118">
        <f t="shared" si="17"/>
        <v>0</v>
      </c>
      <c r="G96" s="79">
        <f t="shared" si="18"/>
        <v>0</v>
      </c>
      <c r="H96" s="80" t="e">
        <f>(G96-VLOOKUP(G96,TABLAS!$A$7:$D$14,1))*VLOOKUP(G96,TABLAS!$A$7:$D$14,4)+VLOOKUP(G96,TABLAS!$A$7:$D$14,3)</f>
        <v>#N/A</v>
      </c>
      <c r="I96" s="79" t="e">
        <f>+VLOOKUP(G96,TABLAS!#REF!,3)</f>
        <v>#REF!</v>
      </c>
      <c r="J96" s="79" t="e">
        <f t="shared" si="19"/>
        <v>#REF!</v>
      </c>
      <c r="K96" s="79" t="e">
        <f t="shared" si="20"/>
        <v>#N/A</v>
      </c>
      <c r="L96" s="81" t="e">
        <f t="shared" si="21"/>
        <v>#REF!</v>
      </c>
      <c r="M96" s="80" t="e">
        <f>+IF(K96&gt;0,(D96-G96-#REF!),D96-L96)</f>
        <v>#N/A</v>
      </c>
      <c r="N96" s="218" t="e">
        <f>'IMSS REAL'!AL96</f>
        <v>#N/A</v>
      </c>
    </row>
    <row r="97" spans="1:14" ht="12.75" customHeight="1" x14ac:dyDescent="0.25">
      <c r="A97" s="219">
        <f t="shared" si="16"/>
        <v>91</v>
      </c>
      <c r="B97" s="115" t="str">
        <f>NOMINA!B97</f>
        <v>Empleado 91</v>
      </c>
      <c r="C97" s="115" t="str">
        <f>NOMINA!C97</f>
        <v>Emp 091</v>
      </c>
      <c r="D97" s="116">
        <f>+NOMINA!D97</f>
        <v>0</v>
      </c>
      <c r="E97" s="117">
        <v>30</v>
      </c>
      <c r="F97" s="118">
        <f t="shared" si="17"/>
        <v>0</v>
      </c>
      <c r="G97" s="79">
        <f t="shared" si="18"/>
        <v>0</v>
      </c>
      <c r="H97" s="80" t="e">
        <f>(G97-VLOOKUP(G97,TABLAS!$A$7:$D$14,1))*VLOOKUP(G97,TABLAS!$A$7:$D$14,4)+VLOOKUP(G97,TABLAS!$A$7:$D$14,3)</f>
        <v>#N/A</v>
      </c>
      <c r="I97" s="79" t="e">
        <f>+VLOOKUP(G97,TABLAS!#REF!,3)</f>
        <v>#REF!</v>
      </c>
      <c r="J97" s="79" t="e">
        <f t="shared" si="19"/>
        <v>#REF!</v>
      </c>
      <c r="K97" s="79" t="e">
        <f t="shared" si="20"/>
        <v>#N/A</v>
      </c>
      <c r="L97" s="81" t="e">
        <f t="shared" si="21"/>
        <v>#REF!</v>
      </c>
      <c r="M97" s="80" t="e">
        <f>+IF(K97&gt;0,(D97-G97-#REF!),D97-L97)</f>
        <v>#N/A</v>
      </c>
      <c r="N97" s="218" t="e">
        <f>'IMSS REAL'!AL97</f>
        <v>#N/A</v>
      </c>
    </row>
    <row r="98" spans="1:14" ht="12.75" customHeight="1" x14ac:dyDescent="0.25">
      <c r="A98" s="219">
        <f t="shared" si="16"/>
        <v>92</v>
      </c>
      <c r="B98" s="115" t="str">
        <f>NOMINA!B98</f>
        <v>Empleado 92</v>
      </c>
      <c r="C98" s="115" t="str">
        <f>NOMINA!C98</f>
        <v>Emp 092</v>
      </c>
      <c r="D98" s="116">
        <f>+NOMINA!D98</f>
        <v>0</v>
      </c>
      <c r="E98" s="117">
        <v>30</v>
      </c>
      <c r="F98" s="118">
        <f t="shared" si="17"/>
        <v>0</v>
      </c>
      <c r="G98" s="79">
        <f t="shared" si="18"/>
        <v>0</v>
      </c>
      <c r="H98" s="80" t="e">
        <f>(G98-VLOOKUP(G98,TABLAS!$A$7:$D$14,1))*VLOOKUP(G98,TABLAS!$A$7:$D$14,4)+VLOOKUP(G98,TABLAS!$A$7:$D$14,3)</f>
        <v>#N/A</v>
      </c>
      <c r="I98" s="79" t="e">
        <f>+VLOOKUP(G98,TABLAS!#REF!,3)</f>
        <v>#REF!</v>
      </c>
      <c r="J98" s="79" t="e">
        <f t="shared" si="19"/>
        <v>#REF!</v>
      </c>
      <c r="K98" s="79" t="e">
        <f t="shared" si="20"/>
        <v>#N/A</v>
      </c>
      <c r="L98" s="81" t="e">
        <f t="shared" si="21"/>
        <v>#REF!</v>
      </c>
      <c r="M98" s="80" t="e">
        <f>+IF(K98&gt;0,(D98-G98-#REF!),D98-L98)</f>
        <v>#N/A</v>
      </c>
      <c r="N98" s="218" t="e">
        <f>'IMSS REAL'!AL98</f>
        <v>#N/A</v>
      </c>
    </row>
    <row r="99" spans="1:14" ht="12.75" customHeight="1" x14ac:dyDescent="0.25">
      <c r="A99" s="219">
        <f t="shared" si="16"/>
        <v>93</v>
      </c>
      <c r="B99" s="115" t="str">
        <f>NOMINA!B99</f>
        <v>Empleado 93</v>
      </c>
      <c r="C99" s="115" t="str">
        <f>NOMINA!C99</f>
        <v>Emp 093</v>
      </c>
      <c r="D99" s="116">
        <f>+NOMINA!D99</f>
        <v>0</v>
      </c>
      <c r="E99" s="117">
        <v>30</v>
      </c>
      <c r="F99" s="118">
        <f t="shared" si="17"/>
        <v>0</v>
      </c>
      <c r="G99" s="79">
        <f t="shared" si="18"/>
        <v>0</v>
      </c>
      <c r="H99" s="80" t="e">
        <f>(G99-VLOOKUP(G99,TABLAS!$A$7:$D$14,1))*VLOOKUP(G99,TABLAS!$A$7:$D$14,4)+VLOOKUP(G99,TABLAS!$A$7:$D$14,3)</f>
        <v>#N/A</v>
      </c>
      <c r="I99" s="79" t="e">
        <f>+VLOOKUP(G99,TABLAS!#REF!,3)</f>
        <v>#REF!</v>
      </c>
      <c r="J99" s="79" t="e">
        <f t="shared" si="19"/>
        <v>#REF!</v>
      </c>
      <c r="K99" s="79" t="e">
        <f t="shared" si="20"/>
        <v>#N/A</v>
      </c>
      <c r="L99" s="81" t="e">
        <f t="shared" si="21"/>
        <v>#REF!</v>
      </c>
      <c r="M99" s="80" t="e">
        <f>+IF(K99&gt;0,(D99-G99-#REF!),D99-L99)</f>
        <v>#N/A</v>
      </c>
      <c r="N99" s="218" t="e">
        <f>'IMSS REAL'!AL99</f>
        <v>#N/A</v>
      </c>
    </row>
    <row r="100" spans="1:14" ht="12.75" customHeight="1" x14ac:dyDescent="0.25">
      <c r="A100" s="219">
        <f t="shared" si="16"/>
        <v>94</v>
      </c>
      <c r="B100" s="115" t="str">
        <f>NOMINA!B100</f>
        <v>Empleado 94</v>
      </c>
      <c r="C100" s="115" t="str">
        <f>NOMINA!C100</f>
        <v>Emp 094</v>
      </c>
      <c r="D100" s="116">
        <f>+NOMINA!D100</f>
        <v>0</v>
      </c>
      <c r="E100" s="117">
        <v>30</v>
      </c>
      <c r="F100" s="118">
        <f t="shared" si="17"/>
        <v>0</v>
      </c>
      <c r="G100" s="79">
        <f t="shared" si="18"/>
        <v>0</v>
      </c>
      <c r="H100" s="80" t="e">
        <f>(G100-VLOOKUP(G100,TABLAS!$A$7:$D$14,1))*VLOOKUP(G100,TABLAS!$A$7:$D$14,4)+VLOOKUP(G100,TABLAS!$A$7:$D$14,3)</f>
        <v>#N/A</v>
      </c>
      <c r="I100" s="79" t="e">
        <f>+VLOOKUP(G100,TABLAS!#REF!,3)</f>
        <v>#REF!</v>
      </c>
      <c r="J100" s="79" t="e">
        <f t="shared" si="19"/>
        <v>#REF!</v>
      </c>
      <c r="K100" s="79" t="e">
        <f t="shared" si="20"/>
        <v>#N/A</v>
      </c>
      <c r="L100" s="81" t="e">
        <f t="shared" si="21"/>
        <v>#REF!</v>
      </c>
      <c r="M100" s="80" t="e">
        <f>+IF(K100&gt;0,(D100-G100-#REF!),D100-L100)</f>
        <v>#N/A</v>
      </c>
      <c r="N100" s="218" t="e">
        <f>'IMSS REAL'!AL100</f>
        <v>#N/A</v>
      </c>
    </row>
    <row r="101" spans="1:14" ht="12.75" customHeight="1" x14ac:dyDescent="0.25">
      <c r="A101" s="219">
        <f t="shared" si="16"/>
        <v>95</v>
      </c>
      <c r="B101" s="115" t="str">
        <f>NOMINA!B101</f>
        <v>Empleado 95</v>
      </c>
      <c r="C101" s="115" t="str">
        <f>NOMINA!C101</f>
        <v>Emp 095</v>
      </c>
      <c r="D101" s="116">
        <f>+NOMINA!D101</f>
        <v>0</v>
      </c>
      <c r="E101" s="117">
        <v>30</v>
      </c>
      <c r="F101" s="118">
        <f t="shared" si="17"/>
        <v>0</v>
      </c>
      <c r="G101" s="79">
        <f t="shared" si="18"/>
        <v>0</v>
      </c>
      <c r="H101" s="80" t="e">
        <f>(G101-VLOOKUP(G101,TABLAS!$A$7:$D$14,1))*VLOOKUP(G101,TABLAS!$A$7:$D$14,4)+VLOOKUP(G101,TABLAS!$A$7:$D$14,3)</f>
        <v>#N/A</v>
      </c>
      <c r="I101" s="79" t="e">
        <f>+VLOOKUP(G101,TABLAS!#REF!,3)</f>
        <v>#REF!</v>
      </c>
      <c r="J101" s="79" t="e">
        <f t="shared" si="19"/>
        <v>#REF!</v>
      </c>
      <c r="K101" s="79" t="e">
        <f t="shared" si="20"/>
        <v>#N/A</v>
      </c>
      <c r="L101" s="81" t="e">
        <f t="shared" si="21"/>
        <v>#REF!</v>
      </c>
      <c r="M101" s="80" t="e">
        <f>+IF(K101&gt;0,(D101-G101-#REF!),D101-L101)</f>
        <v>#N/A</v>
      </c>
      <c r="N101" s="218" t="e">
        <f>'IMSS REAL'!AL101</f>
        <v>#N/A</v>
      </c>
    </row>
    <row r="102" spans="1:14" ht="12.75" customHeight="1" x14ac:dyDescent="0.25">
      <c r="A102" s="219">
        <f t="shared" si="16"/>
        <v>96</v>
      </c>
      <c r="B102" s="115" t="str">
        <f>NOMINA!B102</f>
        <v>Empleado 96</v>
      </c>
      <c r="C102" s="115" t="str">
        <f>NOMINA!C102</f>
        <v>Emp 096</v>
      </c>
      <c r="D102" s="116">
        <f>+NOMINA!D102</f>
        <v>0</v>
      </c>
      <c r="E102" s="117">
        <v>30</v>
      </c>
      <c r="F102" s="118">
        <f t="shared" si="17"/>
        <v>0</v>
      </c>
      <c r="G102" s="79">
        <f t="shared" si="18"/>
        <v>0</v>
      </c>
      <c r="H102" s="80" t="e">
        <f>(G102-VLOOKUP(G102,TABLAS!$A$7:$D$14,1))*VLOOKUP(G102,TABLAS!$A$7:$D$14,4)+VLOOKUP(G102,TABLAS!$A$7:$D$14,3)</f>
        <v>#N/A</v>
      </c>
      <c r="I102" s="79" t="e">
        <f>+VLOOKUP(G102,TABLAS!#REF!,3)</f>
        <v>#REF!</v>
      </c>
      <c r="J102" s="79" t="e">
        <f t="shared" si="19"/>
        <v>#REF!</v>
      </c>
      <c r="K102" s="79" t="e">
        <f t="shared" si="20"/>
        <v>#N/A</v>
      </c>
      <c r="L102" s="81" t="e">
        <f t="shared" si="21"/>
        <v>#REF!</v>
      </c>
      <c r="M102" s="80" t="e">
        <f>+IF(K102&gt;0,(D102-G102-#REF!),D102-L102)</f>
        <v>#N/A</v>
      </c>
      <c r="N102" s="218" t="e">
        <f>'IMSS REAL'!AL102</f>
        <v>#N/A</v>
      </c>
    </row>
    <row r="103" spans="1:14" ht="12.75" customHeight="1" x14ac:dyDescent="0.25">
      <c r="A103" s="219">
        <f t="shared" si="16"/>
        <v>97</v>
      </c>
      <c r="B103" s="115" t="str">
        <f>NOMINA!B103</f>
        <v>Empleado 97</v>
      </c>
      <c r="C103" s="115" t="str">
        <f>NOMINA!C103</f>
        <v>Emp 097</v>
      </c>
      <c r="D103" s="116">
        <f>+NOMINA!D103</f>
        <v>0</v>
      </c>
      <c r="E103" s="117">
        <v>30</v>
      </c>
      <c r="F103" s="118">
        <f t="shared" si="17"/>
        <v>0</v>
      </c>
      <c r="G103" s="79">
        <f t="shared" si="18"/>
        <v>0</v>
      </c>
      <c r="H103" s="80" t="e">
        <f>(G103-VLOOKUP(G103,TABLAS!$A$7:$D$14,1))*VLOOKUP(G103,TABLAS!$A$7:$D$14,4)+VLOOKUP(G103,TABLAS!$A$7:$D$14,3)</f>
        <v>#N/A</v>
      </c>
      <c r="I103" s="79" t="e">
        <f>+VLOOKUP(G103,TABLAS!#REF!,3)</f>
        <v>#REF!</v>
      </c>
      <c r="J103" s="79" t="e">
        <f t="shared" si="19"/>
        <v>#REF!</v>
      </c>
      <c r="K103" s="79" t="e">
        <f t="shared" si="20"/>
        <v>#N/A</v>
      </c>
      <c r="L103" s="81" t="e">
        <f t="shared" si="21"/>
        <v>#REF!</v>
      </c>
      <c r="M103" s="80" t="e">
        <f>+IF(K103&gt;0,(D103-G103-#REF!),D103-L103)</f>
        <v>#N/A</v>
      </c>
      <c r="N103" s="218" t="e">
        <f>'IMSS REAL'!AL103</f>
        <v>#N/A</v>
      </c>
    </row>
    <row r="104" spans="1:14" ht="12.75" customHeight="1" thickBot="1" x14ac:dyDescent="0.3">
      <c r="A104" s="220">
        <f t="shared" si="16"/>
        <v>98</v>
      </c>
      <c r="B104" s="221" t="str">
        <f>NOMINA!B104</f>
        <v>Empleado 98</v>
      </c>
      <c r="C104" s="221" t="str">
        <f>NOMINA!C104</f>
        <v>Emp 098</v>
      </c>
      <c r="D104" s="222">
        <f>+NOMINA!D104</f>
        <v>0</v>
      </c>
      <c r="E104" s="223">
        <v>30</v>
      </c>
      <c r="F104" s="224">
        <f t="shared" si="17"/>
        <v>0</v>
      </c>
      <c r="G104" s="225">
        <f t="shared" si="18"/>
        <v>0</v>
      </c>
      <c r="H104" s="226" t="e">
        <f>(G104-VLOOKUP(G104,TABLAS!$A$7:$D$14,1))*VLOOKUP(G104,TABLAS!$A$7:$D$14,4)+VLOOKUP(G104,TABLAS!$A$7:$D$14,3)</f>
        <v>#N/A</v>
      </c>
      <c r="I104" s="225" t="e">
        <f>+VLOOKUP(G104,TABLAS!#REF!,3)</f>
        <v>#REF!</v>
      </c>
      <c r="J104" s="225" t="e">
        <f t="shared" si="19"/>
        <v>#REF!</v>
      </c>
      <c r="K104" s="225" t="e">
        <f t="shared" si="20"/>
        <v>#N/A</v>
      </c>
      <c r="L104" s="227" t="e">
        <f t="shared" si="21"/>
        <v>#REF!</v>
      </c>
      <c r="M104" s="226" t="e">
        <f>+IF(K104&gt;0,(D104-G104-#REF!),D104-L104)</f>
        <v>#N/A</v>
      </c>
      <c r="N104" s="228" t="e">
        <f>'IMSS REAL'!AL104</f>
        <v>#N/A</v>
      </c>
    </row>
    <row r="105" spans="1:14" ht="12.75" customHeight="1" thickBot="1" x14ac:dyDescent="0.3"/>
    <row r="106" spans="1:14" ht="12.75" customHeight="1" thickBot="1" x14ac:dyDescent="0.3">
      <c r="N106" s="229" t="e">
        <f>SUM(N7:N104)</f>
        <v>#N/A</v>
      </c>
    </row>
  </sheetData>
  <mergeCells count="15">
    <mergeCell ref="A2:N2"/>
    <mergeCell ref="M5:M6"/>
    <mergeCell ref="N5:N6"/>
    <mergeCell ref="G5:G6"/>
    <mergeCell ref="H5:H6"/>
    <mergeCell ref="I5:I6"/>
    <mergeCell ref="J5:J6"/>
    <mergeCell ref="K5:K6"/>
    <mergeCell ref="L5:L6"/>
    <mergeCell ref="F5:F6"/>
    <mergeCell ref="A5:A6"/>
    <mergeCell ref="B5:B6"/>
    <mergeCell ref="C5:C6"/>
    <mergeCell ref="D5:D6"/>
    <mergeCell ref="E5:E6"/>
  </mergeCells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10"/>
  <sheetViews>
    <sheetView topLeftCell="G1" zoomScaleNormal="100" zoomScalePageLayoutView="150" workbookViewId="0">
      <selection activeCell="T8" sqref="T8"/>
    </sheetView>
  </sheetViews>
  <sheetFormatPr baseColWidth="10" defaultColWidth="9.1796875" defaultRowHeight="12.75" customHeight="1" x14ac:dyDescent="0.25"/>
  <cols>
    <col min="1" max="1" width="5" style="23" customWidth="1"/>
    <col min="2" max="5" width="5" style="23" hidden="1" customWidth="1"/>
    <col min="6" max="6" width="18.54296875" style="23" customWidth="1"/>
    <col min="7" max="7" width="6.453125" style="23" bestFit="1" customWidth="1"/>
    <col min="8" max="8" width="6" style="23" customWidth="1"/>
    <col min="9" max="9" width="11.7265625" style="23" customWidth="1"/>
    <col min="10" max="10" width="13" style="23" customWidth="1"/>
    <col min="11" max="11" width="11.7265625" style="23" customWidth="1"/>
    <col min="12" max="12" width="9.1796875" style="23"/>
    <col min="13" max="13" width="11" style="23" bestFit="1" customWidth="1"/>
    <col min="14" max="14" width="13.453125" style="23" customWidth="1"/>
    <col min="15" max="15" width="10.26953125" style="23" customWidth="1"/>
    <col min="16" max="16" width="10.7265625" style="23" customWidth="1"/>
    <col min="17" max="17" width="10.81640625" style="23" customWidth="1"/>
    <col min="18" max="18" width="12.7265625" style="23" customWidth="1"/>
    <col min="19" max="19" width="10.81640625" style="23" customWidth="1"/>
    <col min="20" max="20" width="12.453125" style="23" customWidth="1"/>
    <col min="21" max="21" width="12.453125" style="23" bestFit="1" customWidth="1"/>
    <col min="22" max="22" width="1.7265625" style="23" customWidth="1"/>
    <col min="23" max="25" width="11" style="23" bestFit="1" customWidth="1"/>
    <col min="26" max="26" width="12.453125" style="23" bestFit="1" customWidth="1"/>
    <col min="27" max="27" width="1.7265625" style="23" customWidth="1"/>
    <col min="28" max="29" width="12.453125" style="23" bestFit="1" customWidth="1"/>
    <col min="30" max="30" width="11" style="23" bestFit="1" customWidth="1"/>
    <col min="31" max="31" width="12.453125" style="23" bestFit="1" customWidth="1"/>
    <col min="32" max="32" width="2.453125" style="23" customWidth="1"/>
    <col min="33" max="33" width="11" style="23" hidden="1" customWidth="1"/>
    <col min="34" max="34" width="0" style="23" hidden="1" customWidth="1"/>
    <col min="35" max="35" width="11" style="23" hidden="1" customWidth="1"/>
    <col min="36" max="37" width="10" style="23" hidden="1" customWidth="1"/>
    <col min="38" max="38" width="12" style="23" bestFit="1" customWidth="1"/>
    <col min="39" max="185" width="9.1796875" style="23"/>
    <col min="186" max="186" width="4.453125" style="23" customWidth="1"/>
    <col min="187" max="187" width="30.81640625" style="23" customWidth="1"/>
    <col min="188" max="188" width="4.7265625" style="23" customWidth="1"/>
    <col min="189" max="190" width="0" style="23" hidden="1" customWidth="1"/>
    <col min="191" max="191" width="8.1796875" style="23" customWidth="1"/>
    <col min="192" max="192" width="11" style="23" customWidth="1"/>
    <col min="193" max="193" width="11.453125" style="23" customWidth="1"/>
    <col min="194" max="194" width="9.1796875" style="23" customWidth="1"/>
    <col min="195" max="195" width="10.26953125" style="23" customWidth="1"/>
    <col min="196" max="196" width="10.26953125" style="23" bestFit="1" customWidth="1"/>
    <col min="197" max="197" width="12.453125" style="23" customWidth="1"/>
    <col min="198" max="198" width="6.81640625" style="23" customWidth="1"/>
    <col min="199" max="199" width="11.26953125" style="23" customWidth="1"/>
    <col min="200" max="200" width="9" style="23" customWidth="1"/>
    <col min="201" max="201" width="10.26953125" style="23" customWidth="1"/>
    <col min="202" max="202" width="11.453125" style="23" customWidth="1"/>
    <col min="203" max="203" width="31.81640625" style="23" customWidth="1"/>
    <col min="204" max="204" width="7.26953125" style="23" customWidth="1"/>
    <col min="205" max="206" width="7.81640625" style="23" customWidth="1"/>
    <col min="207" max="207" width="11.453125" style="23" customWidth="1"/>
    <col min="208" max="208" width="7" style="23" customWidth="1"/>
    <col min="209" max="209" width="6.81640625" style="23" customWidth="1"/>
    <col min="210" max="210" width="25.1796875" style="23" customWidth="1"/>
    <col min="211" max="216" width="9.1796875" style="23" customWidth="1"/>
    <col min="217" max="16384" width="9.1796875" style="23"/>
  </cols>
  <sheetData>
    <row r="1" spans="1:39" ht="11.5" x14ac:dyDescent="0.25">
      <c r="L1" s="37" t="s">
        <v>0</v>
      </c>
      <c r="M1" s="37" t="s">
        <v>1</v>
      </c>
    </row>
    <row r="2" spans="1:39" ht="11.5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L2" s="49">
        <v>117.31</v>
      </c>
      <c r="M2" s="48">
        <f>+L2*3</f>
        <v>351.93</v>
      </c>
      <c r="R2" s="159">
        <f>+H7*M7</f>
        <v>0</v>
      </c>
      <c r="S2" s="157">
        <v>1</v>
      </c>
    </row>
    <row r="3" spans="1:39" ht="12" customHeight="1" thickBot="1" x14ac:dyDescent="0.3">
      <c r="A3" s="45"/>
      <c r="B3" s="45"/>
      <c r="C3" s="45"/>
      <c r="D3" s="45"/>
      <c r="E3" s="45"/>
      <c r="F3" s="45"/>
      <c r="G3" s="45"/>
      <c r="H3" s="45"/>
      <c r="I3" s="45"/>
      <c r="R3" s="3">
        <f>+R7</f>
        <v>0</v>
      </c>
      <c r="S3" s="158">
        <v>5.3344000000000003E-2</v>
      </c>
      <c r="V3" s="47"/>
      <c r="AF3" s="47"/>
      <c r="AH3" s="29"/>
    </row>
    <row r="4" spans="1:39" s="126" customFormat="1" ht="11.5" x14ac:dyDescent="0.25">
      <c r="A4" s="122" t="s">
        <v>2</v>
      </c>
      <c r="B4" s="123"/>
      <c r="C4" s="123"/>
      <c r="D4" s="123"/>
      <c r="E4" s="123"/>
      <c r="F4" s="124" t="s">
        <v>2</v>
      </c>
      <c r="G4" s="125"/>
      <c r="H4" s="124"/>
      <c r="I4" s="124"/>
      <c r="J4" s="124"/>
      <c r="K4" s="124"/>
      <c r="L4" s="124" t="s">
        <v>2</v>
      </c>
      <c r="M4" s="124"/>
      <c r="N4" s="203" t="s">
        <v>3</v>
      </c>
      <c r="O4" s="203"/>
      <c r="P4" s="203"/>
      <c r="Q4" s="203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203" t="s">
        <v>32</v>
      </c>
      <c r="AC4" s="203"/>
      <c r="AD4" s="203"/>
      <c r="AE4" s="203"/>
      <c r="AF4" s="124"/>
      <c r="AG4" s="203" t="s">
        <v>4</v>
      </c>
      <c r="AH4" s="203"/>
      <c r="AI4" s="203"/>
      <c r="AJ4" s="202" t="s">
        <v>5</v>
      </c>
      <c r="AK4" s="124"/>
      <c r="AL4" s="124"/>
      <c r="AM4" s="124"/>
    </row>
    <row r="5" spans="1:39" s="105" customFormat="1" ht="23" x14ac:dyDescent="0.25">
      <c r="A5" s="204" t="s">
        <v>6</v>
      </c>
      <c r="B5" s="102"/>
      <c r="C5" s="102"/>
      <c r="D5" s="102"/>
      <c r="E5" s="102"/>
      <c r="F5" s="205" t="s">
        <v>7</v>
      </c>
      <c r="G5" s="205" t="s">
        <v>8</v>
      </c>
      <c r="H5" s="206" t="s">
        <v>9</v>
      </c>
      <c r="I5" s="206" t="s">
        <v>10</v>
      </c>
      <c r="J5" s="206" t="s">
        <v>11</v>
      </c>
      <c r="K5" s="206" t="s">
        <v>12</v>
      </c>
      <c r="L5" s="206" t="s">
        <v>13</v>
      </c>
      <c r="M5" s="206" t="s">
        <v>14</v>
      </c>
      <c r="N5" s="104" t="s">
        <v>15</v>
      </c>
      <c r="O5" s="103" t="s">
        <v>16</v>
      </c>
      <c r="P5" s="104" t="s">
        <v>17</v>
      </c>
      <c r="Q5" s="104" t="s">
        <v>18</v>
      </c>
      <c r="R5" s="104" t="s">
        <v>19</v>
      </c>
      <c r="S5" s="104" t="s">
        <v>20</v>
      </c>
      <c r="T5" s="103" t="s">
        <v>21</v>
      </c>
      <c r="U5" s="200" t="s">
        <v>33</v>
      </c>
      <c r="V5" s="121"/>
      <c r="W5" s="103" t="s">
        <v>23</v>
      </c>
      <c r="X5" s="200" t="s">
        <v>24</v>
      </c>
      <c r="Y5" s="103" t="s">
        <v>25</v>
      </c>
      <c r="Z5" s="200" t="s">
        <v>26</v>
      </c>
      <c r="AA5" s="121"/>
      <c r="AB5" s="200" t="s">
        <v>22</v>
      </c>
      <c r="AC5" s="200" t="s">
        <v>27</v>
      </c>
      <c r="AD5" s="200" t="s">
        <v>81</v>
      </c>
      <c r="AE5" s="200" t="s">
        <v>28</v>
      </c>
      <c r="AF5" s="121"/>
      <c r="AG5" s="200" t="s">
        <v>4</v>
      </c>
      <c r="AH5" s="200" t="s">
        <v>31</v>
      </c>
      <c r="AI5" s="200" t="s">
        <v>29</v>
      </c>
      <c r="AJ5" s="200"/>
      <c r="AK5" s="121"/>
      <c r="AL5" s="200" t="s">
        <v>57</v>
      </c>
      <c r="AM5" s="200" t="s">
        <v>58</v>
      </c>
    </row>
    <row r="6" spans="1:39" s="133" customFormat="1" ht="15.75" customHeight="1" thickBot="1" x14ac:dyDescent="0.3">
      <c r="A6" s="198"/>
      <c r="B6" s="127"/>
      <c r="C6" s="127"/>
      <c r="D6" s="127"/>
      <c r="E6" s="127"/>
      <c r="F6" s="199"/>
      <c r="G6" s="199"/>
      <c r="H6" s="196"/>
      <c r="I6" s="196"/>
      <c r="J6" s="196"/>
      <c r="K6" s="196"/>
      <c r="L6" s="196"/>
      <c r="M6" s="196"/>
      <c r="N6" s="128">
        <v>0.20399999999999999</v>
      </c>
      <c r="O6" s="129">
        <v>1.4999999999999999E-2</v>
      </c>
      <c r="P6" s="130">
        <v>9.4999999999999998E-3</v>
      </c>
      <c r="Q6" s="130">
        <v>1.4250000000000001E-2</v>
      </c>
      <c r="R6" s="131">
        <v>5.0000000000000001E-3</v>
      </c>
      <c r="S6" s="130">
        <v>2.375E-2</v>
      </c>
      <c r="T6" s="130">
        <v>0.01</v>
      </c>
      <c r="U6" s="201"/>
      <c r="V6" s="132"/>
      <c r="W6" s="130">
        <v>0.02</v>
      </c>
      <c r="X6" s="201"/>
      <c r="Y6" s="130">
        <v>0.05</v>
      </c>
      <c r="Z6" s="201"/>
      <c r="AA6" s="132"/>
      <c r="AB6" s="201"/>
      <c r="AC6" s="201"/>
      <c r="AD6" s="201"/>
      <c r="AE6" s="201"/>
      <c r="AF6" s="132"/>
      <c r="AG6" s="201"/>
      <c r="AH6" s="201"/>
      <c r="AI6" s="201"/>
      <c r="AJ6" s="201"/>
      <c r="AK6" s="132"/>
      <c r="AL6" s="201"/>
      <c r="AM6" s="201"/>
    </row>
    <row r="7" spans="1:39" s="40" customFormat="1" ht="12.5" x14ac:dyDescent="0.25">
      <c r="A7" s="78">
        <v>1</v>
      </c>
      <c r="B7" s="78"/>
      <c r="C7" s="78"/>
      <c r="D7" s="78"/>
      <c r="E7" s="78"/>
      <c r="F7" s="115" t="str">
        <f>'NOM REAL'!B7</f>
        <v>Empleado 1</v>
      </c>
      <c r="G7" s="78" t="str">
        <f>NOMINA!C7</f>
        <v>Emp 001</v>
      </c>
      <c r="H7" s="117">
        <f t="shared" ref="H7" si="0">+I7-J7-K7</f>
        <v>31</v>
      </c>
      <c r="I7" s="78">
        <v>31</v>
      </c>
      <c r="J7" s="78">
        <v>0</v>
      </c>
      <c r="K7" s="78">
        <v>0</v>
      </c>
      <c r="L7" s="118">
        <f>'NOM REAL'!F7</f>
        <v>0</v>
      </c>
      <c r="M7" s="118">
        <f>IF(L7*1.0493&gt;$L$2*25,$L$2*25,L7*1.0493)</f>
        <v>0</v>
      </c>
      <c r="N7" s="101">
        <f t="shared" ref="N7" si="1">+ROUND($L$2*$N$6*I7,2)</f>
        <v>741.87</v>
      </c>
      <c r="O7" s="101">
        <f t="shared" ref="O7" si="2">+IF(M7&gt;$M$2,M7-$M$2,0)*$O$6*I7</f>
        <v>0</v>
      </c>
      <c r="P7" s="101">
        <f t="shared" ref="P7" si="3">+ROUND(M7*$P$6*I7,2)</f>
        <v>0</v>
      </c>
      <c r="Q7" s="101">
        <f t="shared" ref="Q7" si="4">+ROUND(M7*$Q$6*I7,2)</f>
        <v>0</v>
      </c>
      <c r="R7" s="101">
        <f>+ROUND(M7*$R$6*I7,2)</f>
        <v>0</v>
      </c>
      <c r="S7" s="101">
        <f>+ROUND(M7*$S$6*I7,2)</f>
        <v>0</v>
      </c>
      <c r="T7" s="101">
        <f>+ROUND(M7*$T$6*I7,2)</f>
        <v>0</v>
      </c>
      <c r="U7" s="101">
        <f t="shared" ref="U7" si="5">+SUM(N7:T7)</f>
        <v>741.87</v>
      </c>
      <c r="V7" s="119"/>
      <c r="W7" s="101">
        <f t="shared" ref="W7" si="6">+ROUND(I7*M7*$W$6,2)</f>
        <v>0</v>
      </c>
      <c r="X7" s="101" t="e">
        <f>+ROUND(H7*M7*(VLOOKUP(M7,TABLAS!$B$29:$D$35,3,1)+1.125%),2)</f>
        <v>#N/A</v>
      </c>
      <c r="Y7" s="101">
        <f t="shared" ref="Y7" si="7">+ROUND(H7*M7*$Y$6,2)</f>
        <v>0</v>
      </c>
      <c r="Z7" s="101" t="e">
        <f t="shared" ref="Z7" si="8">+SUM(W7:Y7)</f>
        <v>#N/A</v>
      </c>
      <c r="AA7" s="100"/>
      <c r="AB7" s="101">
        <f t="shared" ref="AB7" si="9">+U7</f>
        <v>741.87</v>
      </c>
      <c r="AC7" s="101" t="e">
        <f t="shared" ref="AC7" si="10">+Z7</f>
        <v>#N/A</v>
      </c>
      <c r="AD7" s="101">
        <f>+H7*L7*4%</f>
        <v>0</v>
      </c>
      <c r="AE7" s="101" t="e">
        <f t="shared" ref="AE7" si="11">+SUM(AB7:AD7)</f>
        <v>#N/A</v>
      </c>
      <c r="AF7" s="119"/>
      <c r="AG7" s="101" t="e">
        <f t="shared" ref="AG7" si="12">+AE7+AJ7</f>
        <v>#N/A</v>
      </c>
      <c r="AH7" s="101" t="e">
        <f t="shared" ref="AH7" si="13">+AG7*16%</f>
        <v>#N/A</v>
      </c>
      <c r="AI7" s="101" t="e">
        <f t="shared" ref="AI7" si="14">+AG7+AH7</f>
        <v>#N/A</v>
      </c>
      <c r="AJ7" s="101" t="e">
        <f t="shared" ref="AJ7" si="15">+AE7*7.21%</f>
        <v>#N/A</v>
      </c>
      <c r="AK7" s="101" t="e">
        <f t="shared" ref="AK7" si="16">+AG7/2</f>
        <v>#N/A</v>
      </c>
      <c r="AL7" s="120" t="e">
        <f>AM7*'NOM REAL'!E7</f>
        <v>#N/A</v>
      </c>
      <c r="AM7" s="101" t="e">
        <f t="shared" ref="AM7" si="17">AE7/30.4</f>
        <v>#N/A</v>
      </c>
    </row>
    <row r="8" spans="1:39" s="40" customFormat="1" ht="12.5" x14ac:dyDescent="0.25">
      <c r="A8" s="24">
        <f>A7+1</f>
        <v>2</v>
      </c>
      <c r="B8" s="24"/>
      <c r="C8" s="24"/>
      <c r="D8" s="24"/>
      <c r="E8" s="24"/>
      <c r="F8" s="115" t="str">
        <f>'NOM REAL'!B8</f>
        <v>Empleado 2</v>
      </c>
      <c r="G8" s="78" t="str">
        <f>NOMINA!C8</f>
        <v>Emp 002</v>
      </c>
      <c r="H8" s="117">
        <f t="shared" ref="H8" si="18">+I8-J8-K8</f>
        <v>31</v>
      </c>
      <c r="I8" s="78">
        <v>31</v>
      </c>
      <c r="J8" s="78">
        <v>0</v>
      </c>
      <c r="K8" s="78">
        <v>0</v>
      </c>
      <c r="L8" s="118">
        <f>'NOM REAL'!F8</f>
        <v>0</v>
      </c>
      <c r="M8" s="118">
        <f t="shared" ref="M8" si="19">IF(L8*1.0493&gt;$L$2*25,$L$2*25,L8*1.0493)</f>
        <v>0</v>
      </c>
      <c r="N8" s="101">
        <f t="shared" ref="N8" si="20">+ROUND($L$2*$N$6*I8,2)</f>
        <v>741.87</v>
      </c>
      <c r="O8" s="101">
        <f t="shared" ref="O8" si="21">+IF(M8&gt;$M$2,M8-$M$2,0)*$O$6*I8</f>
        <v>0</v>
      </c>
      <c r="P8" s="101">
        <f t="shared" ref="P8" si="22">+ROUND(M8*$P$6*I8,2)</f>
        <v>0</v>
      </c>
      <c r="Q8" s="101">
        <f t="shared" ref="Q8" si="23">+ROUND(M8*$Q$6*I8,2)</f>
        <v>0</v>
      </c>
      <c r="R8" s="101">
        <f t="shared" ref="R8" si="24">+ROUND(M8*$R$6*I8,2)</f>
        <v>0</v>
      </c>
      <c r="S8" s="101">
        <f t="shared" ref="S8" si="25">+ROUND(M8*$S$6*I8,2)</f>
        <v>0</v>
      </c>
      <c r="T8" s="101">
        <f t="shared" ref="T8" si="26">+ROUND(M8*$T$6*I8,2)</f>
        <v>0</v>
      </c>
      <c r="U8" s="101">
        <f t="shared" ref="U8" si="27">+SUM(N8:T8)</f>
        <v>741.87</v>
      </c>
      <c r="V8" s="119"/>
      <c r="W8" s="101">
        <f t="shared" ref="W8" si="28">+ROUND(I8*M8*$W$6,2)</f>
        <v>0</v>
      </c>
      <c r="X8" s="101" t="e">
        <f>+ROUND(H8*M8*(VLOOKUP(M8,TABLAS!$B$29:$D$35,3,1)+1.125%),2)</f>
        <v>#N/A</v>
      </c>
      <c r="Y8" s="101">
        <f t="shared" ref="Y8" si="29">+ROUND(H8*M8*$Y$6,2)</f>
        <v>0</v>
      </c>
      <c r="Z8" s="101" t="e">
        <f t="shared" ref="Z8" si="30">+SUM(W8:Y8)</f>
        <v>#N/A</v>
      </c>
      <c r="AA8" s="100"/>
      <c r="AB8" s="101">
        <f t="shared" ref="AB8" si="31">+U8</f>
        <v>741.87</v>
      </c>
      <c r="AC8" s="101" t="e">
        <f t="shared" ref="AC8" si="32">+Z8</f>
        <v>#N/A</v>
      </c>
      <c r="AD8" s="101">
        <f t="shared" ref="AD8" si="33">+H8*L8*4%</f>
        <v>0</v>
      </c>
      <c r="AE8" s="101" t="e">
        <f t="shared" ref="AE8" si="34">+SUM(AB8:AD8)</f>
        <v>#N/A</v>
      </c>
      <c r="AF8" s="119"/>
      <c r="AG8" s="101" t="e">
        <f t="shared" ref="AG8" si="35">+AE8+AJ8</f>
        <v>#N/A</v>
      </c>
      <c r="AH8" s="101" t="e">
        <f t="shared" ref="AH8" si="36">+AG8*16%</f>
        <v>#N/A</v>
      </c>
      <c r="AI8" s="101" t="e">
        <f t="shared" ref="AI8" si="37">+AG8+AH8</f>
        <v>#N/A</v>
      </c>
      <c r="AJ8" s="101" t="e">
        <f t="shared" ref="AJ8" si="38">+AE8*7.21%</f>
        <v>#N/A</v>
      </c>
      <c r="AK8" s="101" t="e">
        <f t="shared" ref="AK8" si="39">+AG8/2</f>
        <v>#N/A</v>
      </c>
      <c r="AL8" s="120" t="e">
        <f>AM8*'NOM REAL'!E8</f>
        <v>#N/A</v>
      </c>
      <c r="AM8" s="101" t="e">
        <f t="shared" ref="AM8" si="40">AE8/30.4</f>
        <v>#N/A</v>
      </c>
    </row>
    <row r="9" spans="1:39" s="40" customFormat="1" ht="12.5" x14ac:dyDescent="0.25">
      <c r="A9" s="24">
        <f t="shared" ref="A9:A72" si="41">A8+1</f>
        <v>3</v>
      </c>
      <c r="B9" s="24"/>
      <c r="C9" s="24"/>
      <c r="D9" s="24"/>
      <c r="E9" s="24"/>
      <c r="F9" s="115" t="str">
        <f>'NOM REAL'!B9</f>
        <v>Empleado 3</v>
      </c>
      <c r="G9" s="78" t="str">
        <f>NOMINA!C9</f>
        <v>Emp 003</v>
      </c>
      <c r="H9" s="117">
        <f t="shared" ref="H9:H22" si="42">+I9-J9-K9</f>
        <v>31</v>
      </c>
      <c r="I9" s="78">
        <v>31</v>
      </c>
      <c r="J9" s="78">
        <v>0</v>
      </c>
      <c r="K9" s="78">
        <v>0</v>
      </c>
      <c r="L9" s="118">
        <f>'NOM REAL'!F9</f>
        <v>0</v>
      </c>
      <c r="M9" s="118">
        <f t="shared" ref="M9:M22" si="43">IF(L9*1.0493&gt;$L$2*25,$L$2*25,L9*1.0493)</f>
        <v>0</v>
      </c>
      <c r="N9" s="101">
        <f t="shared" ref="N9:N22" si="44">+ROUND($L$2*$N$6*I9,2)</f>
        <v>741.87</v>
      </c>
      <c r="O9" s="101">
        <f t="shared" ref="O9:O22" si="45">+IF(M9&gt;$M$2,M9-$M$2,0)*$O$6*I9</f>
        <v>0</v>
      </c>
      <c r="P9" s="101">
        <f t="shared" ref="P9:P22" si="46">+ROUND(M9*$P$6*I9,2)</f>
        <v>0</v>
      </c>
      <c r="Q9" s="101">
        <f t="shared" ref="Q9:Q22" si="47">+ROUND(M9*$Q$6*I9,2)</f>
        <v>0</v>
      </c>
      <c r="R9" s="101">
        <f t="shared" ref="R9:R22" si="48">+ROUND(M9*$R$6*I9,2)</f>
        <v>0</v>
      </c>
      <c r="S9" s="101">
        <f t="shared" ref="S9:S22" si="49">+ROUND(M9*$S$6*I9,2)</f>
        <v>0</v>
      </c>
      <c r="T9" s="101">
        <f t="shared" ref="T9:T22" si="50">+ROUND(M9*$T$6*I9,2)</f>
        <v>0</v>
      </c>
      <c r="U9" s="101">
        <f t="shared" ref="U9:U22" si="51">+SUM(N9:T9)</f>
        <v>741.87</v>
      </c>
      <c r="V9" s="119"/>
      <c r="W9" s="101">
        <f t="shared" ref="W9:W22" si="52">+ROUND(I9*M9*$W$6,2)</f>
        <v>0</v>
      </c>
      <c r="X9" s="101" t="e">
        <f>+ROUND(H9*M9*(VLOOKUP(M9,TABLAS!$B$29:$D$35,3,1)+1.125%),2)</f>
        <v>#N/A</v>
      </c>
      <c r="Y9" s="101">
        <f t="shared" ref="Y9:Y22" si="53">+ROUND(H9*M9*$Y$6,2)</f>
        <v>0</v>
      </c>
      <c r="Z9" s="101" t="e">
        <f t="shared" ref="Z9:Z22" si="54">+SUM(W9:Y9)</f>
        <v>#N/A</v>
      </c>
      <c r="AA9" s="100"/>
      <c r="AB9" s="101">
        <f t="shared" ref="AB9:AB22" si="55">+U9</f>
        <v>741.87</v>
      </c>
      <c r="AC9" s="101" t="e">
        <f t="shared" ref="AC9:AC22" si="56">+Z9</f>
        <v>#N/A</v>
      </c>
      <c r="AD9" s="101">
        <f t="shared" ref="AD9:AD22" si="57">+H9*L9*4%</f>
        <v>0</v>
      </c>
      <c r="AE9" s="101" t="e">
        <f t="shared" ref="AE9:AE22" si="58">+SUM(AB9:AD9)</f>
        <v>#N/A</v>
      </c>
      <c r="AF9" s="119"/>
      <c r="AG9" s="101" t="e">
        <f t="shared" ref="AG9:AG22" si="59">+AE9+AJ9</f>
        <v>#N/A</v>
      </c>
      <c r="AH9" s="101" t="e">
        <f t="shared" ref="AH9:AH22" si="60">+AG9*16%</f>
        <v>#N/A</v>
      </c>
      <c r="AI9" s="101" t="e">
        <f t="shared" ref="AI9:AI22" si="61">+AG9+AH9</f>
        <v>#N/A</v>
      </c>
      <c r="AJ9" s="101" t="e">
        <f t="shared" ref="AJ9:AJ22" si="62">+AE9*7.21%</f>
        <v>#N/A</v>
      </c>
      <c r="AK9" s="101" t="e">
        <f t="shared" ref="AK9:AK22" si="63">+AG9/2</f>
        <v>#N/A</v>
      </c>
      <c r="AL9" s="120" t="e">
        <f>AM9*'NOM REAL'!E9</f>
        <v>#N/A</v>
      </c>
      <c r="AM9" s="101" t="e">
        <f t="shared" ref="AM9:AM22" si="64">AE9/30.4</f>
        <v>#N/A</v>
      </c>
    </row>
    <row r="10" spans="1:39" s="40" customFormat="1" ht="12.5" x14ac:dyDescent="0.25">
      <c r="A10" s="24">
        <f t="shared" si="41"/>
        <v>4</v>
      </c>
      <c r="B10" s="24"/>
      <c r="C10" s="24"/>
      <c r="D10" s="24"/>
      <c r="E10" s="24"/>
      <c r="F10" s="115" t="str">
        <f>'NOM REAL'!B10</f>
        <v>Empleado 4</v>
      </c>
      <c r="G10" s="78" t="str">
        <f>NOMINA!C10</f>
        <v>Emp 004</v>
      </c>
      <c r="H10" s="117">
        <f t="shared" si="42"/>
        <v>31</v>
      </c>
      <c r="I10" s="78">
        <v>31</v>
      </c>
      <c r="J10" s="78">
        <v>0</v>
      </c>
      <c r="K10" s="78">
        <v>0</v>
      </c>
      <c r="L10" s="118">
        <f>'NOM REAL'!F10</f>
        <v>0</v>
      </c>
      <c r="M10" s="118">
        <f t="shared" si="43"/>
        <v>0</v>
      </c>
      <c r="N10" s="101">
        <f t="shared" si="44"/>
        <v>741.87</v>
      </c>
      <c r="O10" s="101">
        <f t="shared" si="45"/>
        <v>0</v>
      </c>
      <c r="P10" s="101">
        <f t="shared" si="46"/>
        <v>0</v>
      </c>
      <c r="Q10" s="101">
        <f t="shared" si="47"/>
        <v>0</v>
      </c>
      <c r="R10" s="101">
        <f t="shared" si="48"/>
        <v>0</v>
      </c>
      <c r="S10" s="101">
        <f t="shared" si="49"/>
        <v>0</v>
      </c>
      <c r="T10" s="101">
        <f t="shared" si="50"/>
        <v>0</v>
      </c>
      <c r="U10" s="101">
        <f t="shared" si="51"/>
        <v>741.87</v>
      </c>
      <c r="V10" s="119"/>
      <c r="W10" s="101">
        <f t="shared" si="52"/>
        <v>0</v>
      </c>
      <c r="X10" s="101" t="e">
        <f>+ROUND(H10*M10*(VLOOKUP(M10,TABLAS!$B$29:$D$35,3,1)+1.125%),2)</f>
        <v>#N/A</v>
      </c>
      <c r="Y10" s="101">
        <f t="shared" si="53"/>
        <v>0</v>
      </c>
      <c r="Z10" s="101" t="e">
        <f t="shared" si="54"/>
        <v>#N/A</v>
      </c>
      <c r="AA10" s="100"/>
      <c r="AB10" s="101">
        <f t="shared" si="55"/>
        <v>741.87</v>
      </c>
      <c r="AC10" s="101" t="e">
        <f t="shared" si="56"/>
        <v>#N/A</v>
      </c>
      <c r="AD10" s="101">
        <f t="shared" si="57"/>
        <v>0</v>
      </c>
      <c r="AE10" s="101" t="e">
        <f t="shared" si="58"/>
        <v>#N/A</v>
      </c>
      <c r="AF10" s="119"/>
      <c r="AG10" s="101" t="e">
        <f t="shared" si="59"/>
        <v>#N/A</v>
      </c>
      <c r="AH10" s="101" t="e">
        <f t="shared" si="60"/>
        <v>#N/A</v>
      </c>
      <c r="AI10" s="101" t="e">
        <f t="shared" si="61"/>
        <v>#N/A</v>
      </c>
      <c r="AJ10" s="101" t="e">
        <f t="shared" si="62"/>
        <v>#N/A</v>
      </c>
      <c r="AK10" s="101" t="e">
        <f t="shared" si="63"/>
        <v>#N/A</v>
      </c>
      <c r="AL10" s="120" t="e">
        <f>AM10*'NOM REAL'!E10</f>
        <v>#N/A</v>
      </c>
      <c r="AM10" s="101" t="e">
        <f t="shared" si="64"/>
        <v>#N/A</v>
      </c>
    </row>
    <row r="11" spans="1:39" s="40" customFormat="1" ht="12.5" x14ac:dyDescent="0.25">
      <c r="A11" s="24">
        <f t="shared" si="41"/>
        <v>5</v>
      </c>
      <c r="B11" s="24"/>
      <c r="C11" s="24"/>
      <c r="D11" s="24"/>
      <c r="E11" s="24"/>
      <c r="F11" s="115" t="str">
        <f>'NOM REAL'!B11</f>
        <v>Empleado 5</v>
      </c>
      <c r="G11" s="78" t="str">
        <f>NOMINA!C11</f>
        <v>Emp 005</v>
      </c>
      <c r="H11" s="117">
        <f t="shared" si="42"/>
        <v>31</v>
      </c>
      <c r="I11" s="78">
        <v>31</v>
      </c>
      <c r="J11" s="78">
        <v>0</v>
      </c>
      <c r="K11" s="78">
        <v>0</v>
      </c>
      <c r="L11" s="118">
        <f>'NOM REAL'!F11</f>
        <v>0</v>
      </c>
      <c r="M11" s="118">
        <f t="shared" si="43"/>
        <v>0</v>
      </c>
      <c r="N11" s="101">
        <f t="shared" si="44"/>
        <v>741.87</v>
      </c>
      <c r="O11" s="101">
        <f t="shared" si="45"/>
        <v>0</v>
      </c>
      <c r="P11" s="101">
        <f t="shared" si="46"/>
        <v>0</v>
      </c>
      <c r="Q11" s="101">
        <f t="shared" si="47"/>
        <v>0</v>
      </c>
      <c r="R11" s="101">
        <f t="shared" si="48"/>
        <v>0</v>
      </c>
      <c r="S11" s="101">
        <f t="shared" si="49"/>
        <v>0</v>
      </c>
      <c r="T11" s="101">
        <f t="shared" si="50"/>
        <v>0</v>
      </c>
      <c r="U11" s="101">
        <f t="shared" si="51"/>
        <v>741.87</v>
      </c>
      <c r="V11" s="119"/>
      <c r="W11" s="101">
        <f t="shared" si="52"/>
        <v>0</v>
      </c>
      <c r="X11" s="101" t="e">
        <f>+ROUND(H11*M11*(VLOOKUP(M11,TABLAS!$B$29:$D$35,3,1)+1.125%),2)</f>
        <v>#N/A</v>
      </c>
      <c r="Y11" s="101">
        <f t="shared" si="53"/>
        <v>0</v>
      </c>
      <c r="Z11" s="101" t="e">
        <f t="shared" si="54"/>
        <v>#N/A</v>
      </c>
      <c r="AA11" s="100"/>
      <c r="AB11" s="101">
        <f t="shared" si="55"/>
        <v>741.87</v>
      </c>
      <c r="AC11" s="101" t="e">
        <f t="shared" si="56"/>
        <v>#N/A</v>
      </c>
      <c r="AD11" s="101">
        <f t="shared" si="57"/>
        <v>0</v>
      </c>
      <c r="AE11" s="101" t="e">
        <f t="shared" si="58"/>
        <v>#N/A</v>
      </c>
      <c r="AF11" s="119"/>
      <c r="AG11" s="101" t="e">
        <f t="shared" si="59"/>
        <v>#N/A</v>
      </c>
      <c r="AH11" s="101" t="e">
        <f t="shared" si="60"/>
        <v>#N/A</v>
      </c>
      <c r="AI11" s="101" t="e">
        <f t="shared" si="61"/>
        <v>#N/A</v>
      </c>
      <c r="AJ11" s="101" t="e">
        <f t="shared" si="62"/>
        <v>#N/A</v>
      </c>
      <c r="AK11" s="101" t="e">
        <f t="shared" si="63"/>
        <v>#N/A</v>
      </c>
      <c r="AL11" s="120" t="e">
        <f>AM11*'NOM REAL'!E11</f>
        <v>#N/A</v>
      </c>
      <c r="AM11" s="101" t="e">
        <f t="shared" si="64"/>
        <v>#N/A</v>
      </c>
    </row>
    <row r="12" spans="1:39" s="40" customFormat="1" ht="12.5" x14ac:dyDescent="0.25">
      <c r="A12" s="24">
        <f t="shared" si="41"/>
        <v>6</v>
      </c>
      <c r="B12" s="24"/>
      <c r="C12" s="24"/>
      <c r="D12" s="24"/>
      <c r="E12" s="24"/>
      <c r="F12" s="115" t="str">
        <f>'NOM REAL'!B12</f>
        <v>Empleado 6</v>
      </c>
      <c r="G12" s="78" t="str">
        <f>NOMINA!C12</f>
        <v>Emp 006</v>
      </c>
      <c r="H12" s="117">
        <f t="shared" si="42"/>
        <v>31</v>
      </c>
      <c r="I12" s="78">
        <v>31</v>
      </c>
      <c r="J12" s="78">
        <v>0</v>
      </c>
      <c r="K12" s="78">
        <v>0</v>
      </c>
      <c r="L12" s="118">
        <f>'NOM REAL'!F12</f>
        <v>0</v>
      </c>
      <c r="M12" s="118">
        <f t="shared" si="43"/>
        <v>0</v>
      </c>
      <c r="N12" s="101">
        <f t="shared" si="44"/>
        <v>741.87</v>
      </c>
      <c r="O12" s="101">
        <f t="shared" si="45"/>
        <v>0</v>
      </c>
      <c r="P12" s="101">
        <f t="shared" si="46"/>
        <v>0</v>
      </c>
      <c r="Q12" s="101">
        <f t="shared" si="47"/>
        <v>0</v>
      </c>
      <c r="R12" s="101">
        <f t="shared" si="48"/>
        <v>0</v>
      </c>
      <c r="S12" s="101">
        <f t="shared" si="49"/>
        <v>0</v>
      </c>
      <c r="T12" s="101">
        <f t="shared" si="50"/>
        <v>0</v>
      </c>
      <c r="U12" s="101">
        <f t="shared" si="51"/>
        <v>741.87</v>
      </c>
      <c r="V12" s="119"/>
      <c r="W12" s="101">
        <f t="shared" si="52"/>
        <v>0</v>
      </c>
      <c r="X12" s="101" t="e">
        <f>+ROUND(H12*M12*(VLOOKUP(M12,TABLAS!$B$29:$D$35,3,1)+1.125%),2)</f>
        <v>#N/A</v>
      </c>
      <c r="Y12" s="101">
        <f t="shared" si="53"/>
        <v>0</v>
      </c>
      <c r="Z12" s="101" t="e">
        <f t="shared" si="54"/>
        <v>#N/A</v>
      </c>
      <c r="AA12" s="100"/>
      <c r="AB12" s="101">
        <f t="shared" si="55"/>
        <v>741.87</v>
      </c>
      <c r="AC12" s="101" t="e">
        <f t="shared" si="56"/>
        <v>#N/A</v>
      </c>
      <c r="AD12" s="101">
        <f t="shared" si="57"/>
        <v>0</v>
      </c>
      <c r="AE12" s="101" t="e">
        <f t="shared" si="58"/>
        <v>#N/A</v>
      </c>
      <c r="AF12" s="119"/>
      <c r="AG12" s="101" t="e">
        <f t="shared" si="59"/>
        <v>#N/A</v>
      </c>
      <c r="AH12" s="101" t="e">
        <f t="shared" si="60"/>
        <v>#N/A</v>
      </c>
      <c r="AI12" s="101" t="e">
        <f t="shared" si="61"/>
        <v>#N/A</v>
      </c>
      <c r="AJ12" s="101" t="e">
        <f t="shared" si="62"/>
        <v>#N/A</v>
      </c>
      <c r="AK12" s="101" t="e">
        <f t="shared" si="63"/>
        <v>#N/A</v>
      </c>
      <c r="AL12" s="120" t="e">
        <f>AM12*'NOM REAL'!E12</f>
        <v>#N/A</v>
      </c>
      <c r="AM12" s="101" t="e">
        <f t="shared" si="64"/>
        <v>#N/A</v>
      </c>
    </row>
    <row r="13" spans="1:39" s="40" customFormat="1" ht="12.5" x14ac:dyDescent="0.25">
      <c r="A13" s="24">
        <f t="shared" si="41"/>
        <v>7</v>
      </c>
      <c r="B13" s="24"/>
      <c r="C13" s="24"/>
      <c r="D13" s="24"/>
      <c r="E13" s="24"/>
      <c r="F13" s="115" t="str">
        <f>'NOM REAL'!B13</f>
        <v>Empleado 7</v>
      </c>
      <c r="G13" s="78" t="str">
        <f>NOMINA!C13</f>
        <v>Emp 007</v>
      </c>
      <c r="H13" s="117">
        <f t="shared" si="42"/>
        <v>31</v>
      </c>
      <c r="I13" s="78">
        <v>31</v>
      </c>
      <c r="J13" s="78">
        <v>0</v>
      </c>
      <c r="K13" s="78">
        <v>0</v>
      </c>
      <c r="L13" s="118">
        <f>'NOM REAL'!F13</f>
        <v>0</v>
      </c>
      <c r="M13" s="118">
        <f t="shared" si="43"/>
        <v>0</v>
      </c>
      <c r="N13" s="101">
        <f t="shared" si="44"/>
        <v>741.87</v>
      </c>
      <c r="O13" s="101">
        <f t="shared" si="45"/>
        <v>0</v>
      </c>
      <c r="P13" s="101">
        <f t="shared" si="46"/>
        <v>0</v>
      </c>
      <c r="Q13" s="101">
        <f t="shared" si="47"/>
        <v>0</v>
      </c>
      <c r="R13" s="101">
        <f t="shared" si="48"/>
        <v>0</v>
      </c>
      <c r="S13" s="101">
        <f t="shared" si="49"/>
        <v>0</v>
      </c>
      <c r="T13" s="101">
        <f t="shared" si="50"/>
        <v>0</v>
      </c>
      <c r="U13" s="101">
        <f t="shared" si="51"/>
        <v>741.87</v>
      </c>
      <c r="V13" s="119"/>
      <c r="W13" s="101">
        <f t="shared" si="52"/>
        <v>0</v>
      </c>
      <c r="X13" s="101" t="e">
        <f>+ROUND(H13*M13*(VLOOKUP(M13,TABLAS!$B$29:$D$35,3,1)+1.125%),2)</f>
        <v>#N/A</v>
      </c>
      <c r="Y13" s="101">
        <f t="shared" si="53"/>
        <v>0</v>
      </c>
      <c r="Z13" s="101" t="e">
        <f t="shared" si="54"/>
        <v>#N/A</v>
      </c>
      <c r="AA13" s="100"/>
      <c r="AB13" s="101">
        <f t="shared" si="55"/>
        <v>741.87</v>
      </c>
      <c r="AC13" s="101" t="e">
        <f t="shared" si="56"/>
        <v>#N/A</v>
      </c>
      <c r="AD13" s="101">
        <f t="shared" si="57"/>
        <v>0</v>
      </c>
      <c r="AE13" s="101" t="e">
        <f t="shared" si="58"/>
        <v>#N/A</v>
      </c>
      <c r="AF13" s="119"/>
      <c r="AG13" s="101" t="e">
        <f t="shared" si="59"/>
        <v>#N/A</v>
      </c>
      <c r="AH13" s="101" t="e">
        <f t="shared" si="60"/>
        <v>#N/A</v>
      </c>
      <c r="AI13" s="101" t="e">
        <f t="shared" si="61"/>
        <v>#N/A</v>
      </c>
      <c r="AJ13" s="101" t="e">
        <f t="shared" si="62"/>
        <v>#N/A</v>
      </c>
      <c r="AK13" s="101" t="e">
        <f t="shared" si="63"/>
        <v>#N/A</v>
      </c>
      <c r="AL13" s="120" t="e">
        <f>AM13*'NOM REAL'!E13</f>
        <v>#N/A</v>
      </c>
      <c r="AM13" s="101" t="e">
        <f t="shared" si="64"/>
        <v>#N/A</v>
      </c>
    </row>
    <row r="14" spans="1:39" s="40" customFormat="1" ht="12.5" x14ac:dyDescent="0.25">
      <c r="A14" s="24">
        <f t="shared" si="41"/>
        <v>8</v>
      </c>
      <c r="B14" s="24"/>
      <c r="C14" s="24"/>
      <c r="D14" s="24"/>
      <c r="E14" s="24"/>
      <c r="F14" s="115" t="str">
        <f>'NOM REAL'!B14</f>
        <v>Empleado 8</v>
      </c>
      <c r="G14" s="78" t="str">
        <f>NOMINA!C14</f>
        <v>Emp 008</v>
      </c>
      <c r="H14" s="117">
        <f t="shared" si="42"/>
        <v>31</v>
      </c>
      <c r="I14" s="78">
        <v>31</v>
      </c>
      <c r="J14" s="78">
        <v>0</v>
      </c>
      <c r="K14" s="78">
        <v>0</v>
      </c>
      <c r="L14" s="118">
        <f>'NOM REAL'!F14</f>
        <v>0</v>
      </c>
      <c r="M14" s="118">
        <f t="shared" si="43"/>
        <v>0</v>
      </c>
      <c r="N14" s="101">
        <f t="shared" si="44"/>
        <v>741.87</v>
      </c>
      <c r="O14" s="101">
        <f t="shared" si="45"/>
        <v>0</v>
      </c>
      <c r="P14" s="101">
        <f t="shared" si="46"/>
        <v>0</v>
      </c>
      <c r="Q14" s="101">
        <f t="shared" si="47"/>
        <v>0</v>
      </c>
      <c r="R14" s="101">
        <f t="shared" si="48"/>
        <v>0</v>
      </c>
      <c r="S14" s="101">
        <f t="shared" si="49"/>
        <v>0</v>
      </c>
      <c r="T14" s="101">
        <f t="shared" si="50"/>
        <v>0</v>
      </c>
      <c r="U14" s="101">
        <f t="shared" si="51"/>
        <v>741.87</v>
      </c>
      <c r="V14" s="119"/>
      <c r="W14" s="101">
        <f t="shared" si="52"/>
        <v>0</v>
      </c>
      <c r="X14" s="101" t="e">
        <f>+ROUND(H14*M14*(VLOOKUP(M14,TABLAS!$B$29:$D$35,3,1)+1.125%),2)</f>
        <v>#N/A</v>
      </c>
      <c r="Y14" s="101">
        <f t="shared" si="53"/>
        <v>0</v>
      </c>
      <c r="Z14" s="101" t="e">
        <f t="shared" si="54"/>
        <v>#N/A</v>
      </c>
      <c r="AA14" s="100"/>
      <c r="AB14" s="101">
        <f t="shared" si="55"/>
        <v>741.87</v>
      </c>
      <c r="AC14" s="101" t="e">
        <f t="shared" si="56"/>
        <v>#N/A</v>
      </c>
      <c r="AD14" s="101">
        <f t="shared" si="57"/>
        <v>0</v>
      </c>
      <c r="AE14" s="101" t="e">
        <f t="shared" si="58"/>
        <v>#N/A</v>
      </c>
      <c r="AF14" s="119"/>
      <c r="AG14" s="101" t="e">
        <f t="shared" si="59"/>
        <v>#N/A</v>
      </c>
      <c r="AH14" s="101" t="e">
        <f t="shared" si="60"/>
        <v>#N/A</v>
      </c>
      <c r="AI14" s="101" t="e">
        <f t="shared" si="61"/>
        <v>#N/A</v>
      </c>
      <c r="AJ14" s="101" t="e">
        <f t="shared" si="62"/>
        <v>#N/A</v>
      </c>
      <c r="AK14" s="101" t="e">
        <f t="shared" si="63"/>
        <v>#N/A</v>
      </c>
      <c r="AL14" s="120" t="e">
        <f>AM14*'NOM REAL'!E14</f>
        <v>#N/A</v>
      </c>
      <c r="AM14" s="101" t="e">
        <f t="shared" si="64"/>
        <v>#N/A</v>
      </c>
    </row>
    <row r="15" spans="1:39" s="40" customFormat="1" ht="12.5" x14ac:dyDescent="0.25">
      <c r="A15" s="24">
        <f t="shared" si="41"/>
        <v>9</v>
      </c>
      <c r="B15" s="24"/>
      <c r="C15" s="24"/>
      <c r="D15" s="24"/>
      <c r="E15" s="24"/>
      <c r="F15" s="115" t="str">
        <f>'NOM REAL'!B15</f>
        <v>Empleado 9</v>
      </c>
      <c r="G15" s="78" t="str">
        <f>NOMINA!C15</f>
        <v>Emp 009</v>
      </c>
      <c r="H15" s="117">
        <f t="shared" si="42"/>
        <v>31</v>
      </c>
      <c r="I15" s="78">
        <v>31</v>
      </c>
      <c r="J15" s="78">
        <v>0</v>
      </c>
      <c r="K15" s="78">
        <v>0</v>
      </c>
      <c r="L15" s="118">
        <f>'NOM REAL'!F15</f>
        <v>0</v>
      </c>
      <c r="M15" s="118">
        <f t="shared" si="43"/>
        <v>0</v>
      </c>
      <c r="N15" s="101">
        <f t="shared" si="44"/>
        <v>741.87</v>
      </c>
      <c r="O15" s="101">
        <f t="shared" si="45"/>
        <v>0</v>
      </c>
      <c r="P15" s="101">
        <f t="shared" si="46"/>
        <v>0</v>
      </c>
      <c r="Q15" s="101">
        <f t="shared" si="47"/>
        <v>0</v>
      </c>
      <c r="R15" s="101">
        <f t="shared" si="48"/>
        <v>0</v>
      </c>
      <c r="S15" s="101">
        <f t="shared" si="49"/>
        <v>0</v>
      </c>
      <c r="T15" s="101">
        <f t="shared" si="50"/>
        <v>0</v>
      </c>
      <c r="U15" s="101">
        <f t="shared" si="51"/>
        <v>741.87</v>
      </c>
      <c r="V15" s="119"/>
      <c r="W15" s="101">
        <f t="shared" si="52"/>
        <v>0</v>
      </c>
      <c r="X15" s="101" t="e">
        <f>+ROUND(H15*M15*(VLOOKUP(M15,TABLAS!$B$29:$D$35,3,1)+1.125%),2)</f>
        <v>#N/A</v>
      </c>
      <c r="Y15" s="101">
        <f t="shared" si="53"/>
        <v>0</v>
      </c>
      <c r="Z15" s="101" t="e">
        <f t="shared" si="54"/>
        <v>#N/A</v>
      </c>
      <c r="AA15" s="100"/>
      <c r="AB15" s="101">
        <f t="shared" si="55"/>
        <v>741.87</v>
      </c>
      <c r="AC15" s="101" t="e">
        <f t="shared" si="56"/>
        <v>#N/A</v>
      </c>
      <c r="AD15" s="101">
        <f t="shared" si="57"/>
        <v>0</v>
      </c>
      <c r="AE15" s="101" t="e">
        <f t="shared" si="58"/>
        <v>#N/A</v>
      </c>
      <c r="AF15" s="119"/>
      <c r="AG15" s="101" t="e">
        <f t="shared" si="59"/>
        <v>#N/A</v>
      </c>
      <c r="AH15" s="101" t="e">
        <f t="shared" si="60"/>
        <v>#N/A</v>
      </c>
      <c r="AI15" s="101" t="e">
        <f t="shared" si="61"/>
        <v>#N/A</v>
      </c>
      <c r="AJ15" s="101" t="e">
        <f t="shared" si="62"/>
        <v>#N/A</v>
      </c>
      <c r="AK15" s="101" t="e">
        <f t="shared" si="63"/>
        <v>#N/A</v>
      </c>
      <c r="AL15" s="120" t="e">
        <f>AM15*'NOM REAL'!E15</f>
        <v>#N/A</v>
      </c>
      <c r="AM15" s="101" t="e">
        <f t="shared" si="64"/>
        <v>#N/A</v>
      </c>
    </row>
    <row r="16" spans="1:39" s="40" customFormat="1" ht="12.5" x14ac:dyDescent="0.25">
      <c r="A16" s="24">
        <f t="shared" si="41"/>
        <v>10</v>
      </c>
      <c r="B16" s="24"/>
      <c r="C16" s="24"/>
      <c r="D16" s="24"/>
      <c r="E16" s="24"/>
      <c r="F16" s="115" t="str">
        <f>'NOM REAL'!B16</f>
        <v>Empleado 10</v>
      </c>
      <c r="G16" s="78" t="str">
        <f>NOMINA!C16</f>
        <v>Emp 010</v>
      </c>
      <c r="H16" s="117">
        <f t="shared" si="42"/>
        <v>31</v>
      </c>
      <c r="I16" s="78">
        <v>31</v>
      </c>
      <c r="J16" s="78">
        <v>0</v>
      </c>
      <c r="K16" s="78">
        <v>0</v>
      </c>
      <c r="L16" s="118">
        <f>'NOM REAL'!F16</f>
        <v>0</v>
      </c>
      <c r="M16" s="118">
        <f t="shared" si="43"/>
        <v>0</v>
      </c>
      <c r="N16" s="101">
        <f t="shared" si="44"/>
        <v>741.87</v>
      </c>
      <c r="O16" s="101">
        <f t="shared" si="45"/>
        <v>0</v>
      </c>
      <c r="P16" s="101">
        <f t="shared" si="46"/>
        <v>0</v>
      </c>
      <c r="Q16" s="101">
        <f t="shared" si="47"/>
        <v>0</v>
      </c>
      <c r="R16" s="101">
        <f t="shared" si="48"/>
        <v>0</v>
      </c>
      <c r="S16" s="101">
        <f t="shared" si="49"/>
        <v>0</v>
      </c>
      <c r="T16" s="101">
        <f t="shared" si="50"/>
        <v>0</v>
      </c>
      <c r="U16" s="101">
        <f t="shared" si="51"/>
        <v>741.87</v>
      </c>
      <c r="V16" s="119"/>
      <c r="W16" s="101">
        <f t="shared" si="52"/>
        <v>0</v>
      </c>
      <c r="X16" s="101" t="e">
        <f>+ROUND(H16*M16*(VLOOKUP(M16,TABLAS!$B$29:$D$35,3,1)+1.125%),2)</f>
        <v>#N/A</v>
      </c>
      <c r="Y16" s="101">
        <f t="shared" si="53"/>
        <v>0</v>
      </c>
      <c r="Z16" s="101" t="e">
        <f t="shared" si="54"/>
        <v>#N/A</v>
      </c>
      <c r="AA16" s="100"/>
      <c r="AB16" s="101">
        <f t="shared" si="55"/>
        <v>741.87</v>
      </c>
      <c r="AC16" s="101" t="e">
        <f t="shared" si="56"/>
        <v>#N/A</v>
      </c>
      <c r="AD16" s="101">
        <f t="shared" si="57"/>
        <v>0</v>
      </c>
      <c r="AE16" s="101" t="e">
        <f t="shared" si="58"/>
        <v>#N/A</v>
      </c>
      <c r="AF16" s="119"/>
      <c r="AG16" s="101" t="e">
        <f t="shared" si="59"/>
        <v>#N/A</v>
      </c>
      <c r="AH16" s="101" t="e">
        <f t="shared" si="60"/>
        <v>#N/A</v>
      </c>
      <c r="AI16" s="101" t="e">
        <f t="shared" si="61"/>
        <v>#N/A</v>
      </c>
      <c r="AJ16" s="101" t="e">
        <f t="shared" si="62"/>
        <v>#N/A</v>
      </c>
      <c r="AK16" s="101" t="e">
        <f t="shared" si="63"/>
        <v>#N/A</v>
      </c>
      <c r="AL16" s="120" t="e">
        <f>AM16*'NOM REAL'!E16</f>
        <v>#N/A</v>
      </c>
      <c r="AM16" s="101" t="e">
        <f t="shared" si="64"/>
        <v>#N/A</v>
      </c>
    </row>
    <row r="17" spans="1:39" s="40" customFormat="1" ht="12.5" x14ac:dyDescent="0.25">
      <c r="A17" s="24">
        <f t="shared" si="41"/>
        <v>11</v>
      </c>
      <c r="B17" s="24"/>
      <c r="C17" s="24"/>
      <c r="D17" s="24"/>
      <c r="E17" s="24"/>
      <c r="F17" s="115" t="str">
        <f>'NOM REAL'!B17</f>
        <v>Empleado 11</v>
      </c>
      <c r="G17" s="78" t="str">
        <f>NOMINA!C17</f>
        <v>Emp 011</v>
      </c>
      <c r="H17" s="117">
        <f t="shared" si="42"/>
        <v>31</v>
      </c>
      <c r="I17" s="78">
        <v>31</v>
      </c>
      <c r="J17" s="78">
        <v>0</v>
      </c>
      <c r="K17" s="78">
        <v>0</v>
      </c>
      <c r="L17" s="118">
        <f>'NOM REAL'!F17</f>
        <v>0</v>
      </c>
      <c r="M17" s="118">
        <f t="shared" si="43"/>
        <v>0</v>
      </c>
      <c r="N17" s="101">
        <f t="shared" si="44"/>
        <v>741.87</v>
      </c>
      <c r="O17" s="101">
        <f t="shared" si="45"/>
        <v>0</v>
      </c>
      <c r="P17" s="101">
        <f t="shared" si="46"/>
        <v>0</v>
      </c>
      <c r="Q17" s="101">
        <f t="shared" si="47"/>
        <v>0</v>
      </c>
      <c r="R17" s="101">
        <f t="shared" si="48"/>
        <v>0</v>
      </c>
      <c r="S17" s="101">
        <f t="shared" si="49"/>
        <v>0</v>
      </c>
      <c r="T17" s="101">
        <f t="shared" si="50"/>
        <v>0</v>
      </c>
      <c r="U17" s="101">
        <f t="shared" si="51"/>
        <v>741.87</v>
      </c>
      <c r="V17" s="119"/>
      <c r="W17" s="101">
        <f t="shared" si="52"/>
        <v>0</v>
      </c>
      <c r="X17" s="101" t="e">
        <f>+ROUND(H17*M17*(VLOOKUP(M17,TABLAS!$B$29:$D$35,3,1)+1.125%),2)</f>
        <v>#N/A</v>
      </c>
      <c r="Y17" s="101">
        <f t="shared" si="53"/>
        <v>0</v>
      </c>
      <c r="Z17" s="101" t="e">
        <f t="shared" si="54"/>
        <v>#N/A</v>
      </c>
      <c r="AA17" s="100"/>
      <c r="AB17" s="101">
        <f t="shared" si="55"/>
        <v>741.87</v>
      </c>
      <c r="AC17" s="101" t="e">
        <f t="shared" si="56"/>
        <v>#N/A</v>
      </c>
      <c r="AD17" s="101">
        <f t="shared" si="57"/>
        <v>0</v>
      </c>
      <c r="AE17" s="101" t="e">
        <f t="shared" si="58"/>
        <v>#N/A</v>
      </c>
      <c r="AF17" s="119"/>
      <c r="AG17" s="101" t="e">
        <f t="shared" si="59"/>
        <v>#N/A</v>
      </c>
      <c r="AH17" s="101" t="e">
        <f t="shared" si="60"/>
        <v>#N/A</v>
      </c>
      <c r="AI17" s="101" t="e">
        <f t="shared" si="61"/>
        <v>#N/A</v>
      </c>
      <c r="AJ17" s="101" t="e">
        <f t="shared" si="62"/>
        <v>#N/A</v>
      </c>
      <c r="AK17" s="101" t="e">
        <f t="shared" si="63"/>
        <v>#N/A</v>
      </c>
      <c r="AL17" s="120" t="e">
        <f>AM17*'NOM REAL'!E17</f>
        <v>#N/A</v>
      </c>
      <c r="AM17" s="101" t="e">
        <f t="shared" si="64"/>
        <v>#N/A</v>
      </c>
    </row>
    <row r="18" spans="1:39" s="40" customFormat="1" ht="12.5" x14ac:dyDescent="0.25">
      <c r="A18" s="24">
        <f t="shared" si="41"/>
        <v>12</v>
      </c>
      <c r="B18" s="24"/>
      <c r="C18" s="24"/>
      <c r="D18" s="24"/>
      <c r="E18" s="24"/>
      <c r="F18" s="115" t="str">
        <f>'NOM REAL'!B18</f>
        <v>Empleado 12</v>
      </c>
      <c r="G18" s="78" t="str">
        <f>NOMINA!C18</f>
        <v>Emp 012</v>
      </c>
      <c r="H18" s="117">
        <f t="shared" si="42"/>
        <v>31</v>
      </c>
      <c r="I18" s="78">
        <v>31</v>
      </c>
      <c r="J18" s="78">
        <v>0</v>
      </c>
      <c r="K18" s="78">
        <v>0</v>
      </c>
      <c r="L18" s="118">
        <f>'NOM REAL'!F18</f>
        <v>0</v>
      </c>
      <c r="M18" s="118">
        <f t="shared" si="43"/>
        <v>0</v>
      </c>
      <c r="N18" s="101">
        <f t="shared" si="44"/>
        <v>741.87</v>
      </c>
      <c r="O18" s="101">
        <f t="shared" si="45"/>
        <v>0</v>
      </c>
      <c r="P18" s="101">
        <f t="shared" si="46"/>
        <v>0</v>
      </c>
      <c r="Q18" s="101">
        <f t="shared" si="47"/>
        <v>0</v>
      </c>
      <c r="R18" s="101">
        <f t="shared" si="48"/>
        <v>0</v>
      </c>
      <c r="S18" s="101">
        <f t="shared" si="49"/>
        <v>0</v>
      </c>
      <c r="T18" s="101">
        <f t="shared" si="50"/>
        <v>0</v>
      </c>
      <c r="U18" s="101">
        <f t="shared" si="51"/>
        <v>741.87</v>
      </c>
      <c r="V18" s="119"/>
      <c r="W18" s="101">
        <f t="shared" si="52"/>
        <v>0</v>
      </c>
      <c r="X18" s="101" t="e">
        <f>+ROUND(H18*M18*(VLOOKUP(M18,TABLAS!$B$29:$D$35,3,1)+1.125%),2)</f>
        <v>#N/A</v>
      </c>
      <c r="Y18" s="101">
        <f t="shared" si="53"/>
        <v>0</v>
      </c>
      <c r="Z18" s="101" t="e">
        <f t="shared" si="54"/>
        <v>#N/A</v>
      </c>
      <c r="AA18" s="100"/>
      <c r="AB18" s="101">
        <f t="shared" si="55"/>
        <v>741.87</v>
      </c>
      <c r="AC18" s="101" t="e">
        <f t="shared" si="56"/>
        <v>#N/A</v>
      </c>
      <c r="AD18" s="101">
        <f t="shared" si="57"/>
        <v>0</v>
      </c>
      <c r="AE18" s="101" t="e">
        <f t="shared" si="58"/>
        <v>#N/A</v>
      </c>
      <c r="AF18" s="119"/>
      <c r="AG18" s="101" t="e">
        <f t="shared" si="59"/>
        <v>#N/A</v>
      </c>
      <c r="AH18" s="101" t="e">
        <f t="shared" si="60"/>
        <v>#N/A</v>
      </c>
      <c r="AI18" s="101" t="e">
        <f t="shared" si="61"/>
        <v>#N/A</v>
      </c>
      <c r="AJ18" s="101" t="e">
        <f t="shared" si="62"/>
        <v>#N/A</v>
      </c>
      <c r="AK18" s="101" t="e">
        <f t="shared" si="63"/>
        <v>#N/A</v>
      </c>
      <c r="AL18" s="120" t="e">
        <f>AM18*'NOM REAL'!E18</f>
        <v>#N/A</v>
      </c>
      <c r="AM18" s="101" t="e">
        <f t="shared" si="64"/>
        <v>#N/A</v>
      </c>
    </row>
    <row r="19" spans="1:39" s="40" customFormat="1" ht="12.5" x14ac:dyDescent="0.25">
      <c r="A19" s="24">
        <f t="shared" si="41"/>
        <v>13</v>
      </c>
      <c r="B19" s="24"/>
      <c r="C19" s="24"/>
      <c r="D19" s="24"/>
      <c r="E19" s="24"/>
      <c r="F19" s="115" t="str">
        <f>'NOM REAL'!B19</f>
        <v>Empleado 13</v>
      </c>
      <c r="G19" s="78" t="str">
        <f>NOMINA!C19</f>
        <v>Emp 013</v>
      </c>
      <c r="H19" s="117">
        <f t="shared" si="42"/>
        <v>31</v>
      </c>
      <c r="I19" s="78">
        <v>31</v>
      </c>
      <c r="J19" s="78">
        <v>0</v>
      </c>
      <c r="K19" s="78">
        <v>0</v>
      </c>
      <c r="L19" s="118">
        <f>'NOM REAL'!F19</f>
        <v>0</v>
      </c>
      <c r="M19" s="118">
        <f t="shared" si="43"/>
        <v>0</v>
      </c>
      <c r="N19" s="101">
        <f t="shared" si="44"/>
        <v>741.87</v>
      </c>
      <c r="O19" s="101">
        <f t="shared" si="45"/>
        <v>0</v>
      </c>
      <c r="P19" s="101">
        <f t="shared" si="46"/>
        <v>0</v>
      </c>
      <c r="Q19" s="101">
        <f t="shared" si="47"/>
        <v>0</v>
      </c>
      <c r="R19" s="101">
        <f t="shared" si="48"/>
        <v>0</v>
      </c>
      <c r="S19" s="101">
        <f t="shared" si="49"/>
        <v>0</v>
      </c>
      <c r="T19" s="101">
        <f t="shared" si="50"/>
        <v>0</v>
      </c>
      <c r="U19" s="101">
        <f t="shared" si="51"/>
        <v>741.87</v>
      </c>
      <c r="V19" s="119"/>
      <c r="W19" s="101">
        <f t="shared" si="52"/>
        <v>0</v>
      </c>
      <c r="X19" s="101" t="e">
        <f>+ROUND(H19*M19*(VLOOKUP(M19,TABLAS!$B$29:$D$35,3,1)+1.125%),2)</f>
        <v>#N/A</v>
      </c>
      <c r="Y19" s="101">
        <f t="shared" si="53"/>
        <v>0</v>
      </c>
      <c r="Z19" s="101" t="e">
        <f t="shared" si="54"/>
        <v>#N/A</v>
      </c>
      <c r="AA19" s="100"/>
      <c r="AB19" s="101">
        <f t="shared" si="55"/>
        <v>741.87</v>
      </c>
      <c r="AC19" s="101" t="e">
        <f t="shared" si="56"/>
        <v>#N/A</v>
      </c>
      <c r="AD19" s="101">
        <f t="shared" si="57"/>
        <v>0</v>
      </c>
      <c r="AE19" s="101" t="e">
        <f t="shared" si="58"/>
        <v>#N/A</v>
      </c>
      <c r="AF19" s="119"/>
      <c r="AG19" s="101" t="e">
        <f t="shared" si="59"/>
        <v>#N/A</v>
      </c>
      <c r="AH19" s="101" t="e">
        <f t="shared" si="60"/>
        <v>#N/A</v>
      </c>
      <c r="AI19" s="101" t="e">
        <f t="shared" si="61"/>
        <v>#N/A</v>
      </c>
      <c r="AJ19" s="101" t="e">
        <f t="shared" si="62"/>
        <v>#N/A</v>
      </c>
      <c r="AK19" s="101" t="e">
        <f t="shared" si="63"/>
        <v>#N/A</v>
      </c>
      <c r="AL19" s="120" t="e">
        <f>AM19*'NOM REAL'!E19</f>
        <v>#N/A</v>
      </c>
      <c r="AM19" s="101" t="e">
        <f t="shared" si="64"/>
        <v>#N/A</v>
      </c>
    </row>
    <row r="20" spans="1:39" s="40" customFormat="1" ht="12.5" x14ac:dyDescent="0.25">
      <c r="A20" s="24">
        <f t="shared" si="41"/>
        <v>14</v>
      </c>
      <c r="B20" s="24"/>
      <c r="C20" s="24"/>
      <c r="D20" s="24"/>
      <c r="E20" s="24"/>
      <c r="F20" s="115" t="str">
        <f>'NOM REAL'!B20</f>
        <v>Empleado 14</v>
      </c>
      <c r="G20" s="78" t="str">
        <f>NOMINA!C20</f>
        <v>Emp 014</v>
      </c>
      <c r="H20" s="117">
        <f t="shared" si="42"/>
        <v>31</v>
      </c>
      <c r="I20" s="78">
        <v>31</v>
      </c>
      <c r="J20" s="78">
        <v>0</v>
      </c>
      <c r="K20" s="78">
        <v>0</v>
      </c>
      <c r="L20" s="118">
        <f>'NOM REAL'!F20</f>
        <v>0</v>
      </c>
      <c r="M20" s="118">
        <f t="shared" si="43"/>
        <v>0</v>
      </c>
      <c r="N20" s="101">
        <f t="shared" si="44"/>
        <v>741.87</v>
      </c>
      <c r="O20" s="101">
        <f t="shared" si="45"/>
        <v>0</v>
      </c>
      <c r="P20" s="101">
        <f t="shared" si="46"/>
        <v>0</v>
      </c>
      <c r="Q20" s="101">
        <f t="shared" si="47"/>
        <v>0</v>
      </c>
      <c r="R20" s="101">
        <f t="shared" si="48"/>
        <v>0</v>
      </c>
      <c r="S20" s="101">
        <f t="shared" si="49"/>
        <v>0</v>
      </c>
      <c r="T20" s="101">
        <f t="shared" si="50"/>
        <v>0</v>
      </c>
      <c r="U20" s="101">
        <f t="shared" si="51"/>
        <v>741.87</v>
      </c>
      <c r="V20" s="119"/>
      <c r="W20" s="101">
        <f t="shared" si="52"/>
        <v>0</v>
      </c>
      <c r="X20" s="101" t="e">
        <f>+ROUND(H20*M20*(VLOOKUP(M20,TABLAS!$B$29:$D$35,3,1)+1.125%),2)</f>
        <v>#N/A</v>
      </c>
      <c r="Y20" s="101">
        <f t="shared" si="53"/>
        <v>0</v>
      </c>
      <c r="Z20" s="101" t="e">
        <f t="shared" si="54"/>
        <v>#N/A</v>
      </c>
      <c r="AA20" s="100"/>
      <c r="AB20" s="101">
        <f t="shared" si="55"/>
        <v>741.87</v>
      </c>
      <c r="AC20" s="101" t="e">
        <f t="shared" si="56"/>
        <v>#N/A</v>
      </c>
      <c r="AD20" s="101">
        <f t="shared" si="57"/>
        <v>0</v>
      </c>
      <c r="AE20" s="101" t="e">
        <f t="shared" si="58"/>
        <v>#N/A</v>
      </c>
      <c r="AF20" s="119"/>
      <c r="AG20" s="101" t="e">
        <f t="shared" si="59"/>
        <v>#N/A</v>
      </c>
      <c r="AH20" s="101" t="e">
        <f t="shared" si="60"/>
        <v>#N/A</v>
      </c>
      <c r="AI20" s="101" t="e">
        <f t="shared" si="61"/>
        <v>#N/A</v>
      </c>
      <c r="AJ20" s="101" t="e">
        <f t="shared" si="62"/>
        <v>#N/A</v>
      </c>
      <c r="AK20" s="101" t="e">
        <f t="shared" si="63"/>
        <v>#N/A</v>
      </c>
      <c r="AL20" s="120" t="e">
        <f>AM20*'NOM REAL'!E20</f>
        <v>#N/A</v>
      </c>
      <c r="AM20" s="101" t="e">
        <f t="shared" si="64"/>
        <v>#N/A</v>
      </c>
    </row>
    <row r="21" spans="1:39" s="40" customFormat="1" ht="12.5" x14ac:dyDescent="0.25">
      <c r="A21" s="24">
        <f t="shared" si="41"/>
        <v>15</v>
      </c>
      <c r="B21" s="24"/>
      <c r="C21" s="24"/>
      <c r="D21" s="24"/>
      <c r="E21" s="24"/>
      <c r="F21" s="115" t="str">
        <f>'NOM REAL'!B21</f>
        <v>Empleado 15</v>
      </c>
      <c r="G21" s="78" t="str">
        <f>NOMINA!C21</f>
        <v>Emp 015</v>
      </c>
      <c r="H21" s="117">
        <f t="shared" si="42"/>
        <v>31</v>
      </c>
      <c r="I21" s="78">
        <v>31</v>
      </c>
      <c r="J21" s="78">
        <v>0</v>
      </c>
      <c r="K21" s="78">
        <v>0</v>
      </c>
      <c r="L21" s="118">
        <f>'NOM REAL'!F21</f>
        <v>0</v>
      </c>
      <c r="M21" s="118">
        <f t="shared" si="43"/>
        <v>0</v>
      </c>
      <c r="N21" s="101">
        <f t="shared" si="44"/>
        <v>741.87</v>
      </c>
      <c r="O21" s="101">
        <f t="shared" si="45"/>
        <v>0</v>
      </c>
      <c r="P21" s="101">
        <f t="shared" si="46"/>
        <v>0</v>
      </c>
      <c r="Q21" s="101">
        <f t="shared" si="47"/>
        <v>0</v>
      </c>
      <c r="R21" s="101">
        <f t="shared" si="48"/>
        <v>0</v>
      </c>
      <c r="S21" s="101">
        <f t="shared" si="49"/>
        <v>0</v>
      </c>
      <c r="T21" s="101">
        <f t="shared" si="50"/>
        <v>0</v>
      </c>
      <c r="U21" s="101">
        <f t="shared" si="51"/>
        <v>741.87</v>
      </c>
      <c r="V21" s="119"/>
      <c r="W21" s="101">
        <f t="shared" si="52"/>
        <v>0</v>
      </c>
      <c r="X21" s="101" t="e">
        <f>+ROUND(H21*M21*(VLOOKUP(M21,TABLAS!$B$29:$D$35,3,1)+1.125%),2)</f>
        <v>#N/A</v>
      </c>
      <c r="Y21" s="101">
        <f t="shared" si="53"/>
        <v>0</v>
      </c>
      <c r="Z21" s="101" t="e">
        <f t="shared" si="54"/>
        <v>#N/A</v>
      </c>
      <c r="AA21" s="100"/>
      <c r="AB21" s="101">
        <f t="shared" si="55"/>
        <v>741.87</v>
      </c>
      <c r="AC21" s="101" t="e">
        <f t="shared" si="56"/>
        <v>#N/A</v>
      </c>
      <c r="AD21" s="101">
        <f t="shared" si="57"/>
        <v>0</v>
      </c>
      <c r="AE21" s="101" t="e">
        <f t="shared" si="58"/>
        <v>#N/A</v>
      </c>
      <c r="AF21" s="119"/>
      <c r="AG21" s="101" t="e">
        <f t="shared" si="59"/>
        <v>#N/A</v>
      </c>
      <c r="AH21" s="101" t="e">
        <f t="shared" si="60"/>
        <v>#N/A</v>
      </c>
      <c r="AI21" s="101" t="e">
        <f t="shared" si="61"/>
        <v>#N/A</v>
      </c>
      <c r="AJ21" s="101" t="e">
        <f t="shared" si="62"/>
        <v>#N/A</v>
      </c>
      <c r="AK21" s="101" t="e">
        <f t="shared" si="63"/>
        <v>#N/A</v>
      </c>
      <c r="AL21" s="120" t="e">
        <f>AM21*'NOM REAL'!E21</f>
        <v>#N/A</v>
      </c>
      <c r="AM21" s="101" t="e">
        <f t="shared" si="64"/>
        <v>#N/A</v>
      </c>
    </row>
    <row r="22" spans="1:39" s="40" customFormat="1" ht="12.5" x14ac:dyDescent="0.25">
      <c r="A22" s="24">
        <f t="shared" si="41"/>
        <v>16</v>
      </c>
      <c r="B22" s="24"/>
      <c r="C22" s="24"/>
      <c r="D22" s="24"/>
      <c r="E22" s="24"/>
      <c r="F22" s="115" t="str">
        <f>'NOM REAL'!B22</f>
        <v>Empleado 16</v>
      </c>
      <c r="G22" s="78" t="str">
        <f>NOMINA!C22</f>
        <v>Emp 016</v>
      </c>
      <c r="H22" s="117">
        <f t="shared" si="42"/>
        <v>31</v>
      </c>
      <c r="I22" s="78">
        <v>31</v>
      </c>
      <c r="J22" s="78">
        <v>0</v>
      </c>
      <c r="K22" s="78">
        <v>0</v>
      </c>
      <c r="L22" s="118">
        <f>'NOM REAL'!F22</f>
        <v>0</v>
      </c>
      <c r="M22" s="118">
        <f t="shared" si="43"/>
        <v>0</v>
      </c>
      <c r="N22" s="101">
        <f t="shared" si="44"/>
        <v>741.87</v>
      </c>
      <c r="O22" s="101">
        <f t="shared" si="45"/>
        <v>0</v>
      </c>
      <c r="P22" s="101">
        <f t="shared" si="46"/>
        <v>0</v>
      </c>
      <c r="Q22" s="101">
        <f t="shared" si="47"/>
        <v>0</v>
      </c>
      <c r="R22" s="101">
        <f t="shared" si="48"/>
        <v>0</v>
      </c>
      <c r="S22" s="101">
        <f t="shared" si="49"/>
        <v>0</v>
      </c>
      <c r="T22" s="101">
        <f t="shared" si="50"/>
        <v>0</v>
      </c>
      <c r="U22" s="101">
        <f t="shared" si="51"/>
        <v>741.87</v>
      </c>
      <c r="V22" s="119"/>
      <c r="W22" s="101">
        <f t="shared" si="52"/>
        <v>0</v>
      </c>
      <c r="X22" s="101" t="e">
        <f>+ROUND(H22*M22*(VLOOKUP(M22,TABLAS!$B$29:$D$35,3,1)+1.125%),2)</f>
        <v>#N/A</v>
      </c>
      <c r="Y22" s="101">
        <f t="shared" si="53"/>
        <v>0</v>
      </c>
      <c r="Z22" s="101" t="e">
        <f t="shared" si="54"/>
        <v>#N/A</v>
      </c>
      <c r="AA22" s="100"/>
      <c r="AB22" s="101">
        <f t="shared" si="55"/>
        <v>741.87</v>
      </c>
      <c r="AC22" s="101" t="e">
        <f t="shared" si="56"/>
        <v>#N/A</v>
      </c>
      <c r="AD22" s="101">
        <f t="shared" si="57"/>
        <v>0</v>
      </c>
      <c r="AE22" s="101" t="e">
        <f t="shared" si="58"/>
        <v>#N/A</v>
      </c>
      <c r="AF22" s="119"/>
      <c r="AG22" s="101" t="e">
        <f t="shared" si="59"/>
        <v>#N/A</v>
      </c>
      <c r="AH22" s="101" t="e">
        <f t="shared" si="60"/>
        <v>#N/A</v>
      </c>
      <c r="AI22" s="101" t="e">
        <f t="shared" si="61"/>
        <v>#N/A</v>
      </c>
      <c r="AJ22" s="101" t="e">
        <f t="shared" si="62"/>
        <v>#N/A</v>
      </c>
      <c r="AK22" s="101" t="e">
        <f t="shared" si="63"/>
        <v>#N/A</v>
      </c>
      <c r="AL22" s="120" t="e">
        <f>AM22*'NOM REAL'!E22</f>
        <v>#N/A</v>
      </c>
      <c r="AM22" s="101" t="e">
        <f t="shared" si="64"/>
        <v>#N/A</v>
      </c>
    </row>
    <row r="23" spans="1:39" s="40" customFormat="1" ht="12.5" x14ac:dyDescent="0.25">
      <c r="A23" s="24">
        <f t="shared" si="41"/>
        <v>17</v>
      </c>
      <c r="B23" s="24"/>
      <c r="C23" s="24"/>
      <c r="D23" s="24"/>
      <c r="E23" s="24"/>
      <c r="F23" s="115">
        <f>'NOM REAL'!B105</f>
        <v>0</v>
      </c>
      <c r="G23" s="78" t="str">
        <f>NOMINA!C23</f>
        <v>Emp 017</v>
      </c>
      <c r="H23" s="117">
        <f t="shared" ref="H23:H86" si="65">+I23-J23-K23</f>
        <v>31</v>
      </c>
      <c r="I23" s="78">
        <v>31</v>
      </c>
      <c r="J23" s="78">
        <v>0</v>
      </c>
      <c r="K23" s="78">
        <v>0</v>
      </c>
      <c r="L23" s="118">
        <f>'NOM REAL'!F105</f>
        <v>0</v>
      </c>
      <c r="M23" s="118">
        <f t="shared" ref="M23:M86" si="66">IF(L23*1.0493&gt;$L$2*25,$L$2*25,L23*1.0493)</f>
        <v>0</v>
      </c>
      <c r="N23" s="101">
        <f t="shared" ref="N23:N86" si="67">+ROUND($L$2*$N$6*I23,2)</f>
        <v>741.87</v>
      </c>
      <c r="O23" s="101">
        <f t="shared" ref="O23:O86" si="68">+IF(M23&gt;$M$2,M23-$M$2,0)*$O$6*I23</f>
        <v>0</v>
      </c>
      <c r="P23" s="101">
        <f t="shared" ref="P23:P86" si="69">+ROUND(M23*$P$6*I23,2)</f>
        <v>0</v>
      </c>
      <c r="Q23" s="101">
        <f t="shared" ref="Q23:Q86" si="70">+ROUND(M23*$Q$6*I23,2)</f>
        <v>0</v>
      </c>
      <c r="R23" s="101">
        <f t="shared" ref="R23:R86" si="71">+ROUND(M23*$R$6*I23,2)</f>
        <v>0</v>
      </c>
      <c r="S23" s="101">
        <f t="shared" ref="S23:S86" si="72">+ROUND(M23*$S$6*I23,2)</f>
        <v>0</v>
      </c>
      <c r="T23" s="101">
        <f t="shared" ref="T23:T86" si="73">+ROUND(M23*$T$6*I23,2)</f>
        <v>0</v>
      </c>
      <c r="U23" s="101">
        <f t="shared" ref="U23:U86" si="74">+SUM(N23:T23)</f>
        <v>741.87</v>
      </c>
      <c r="V23" s="119"/>
      <c r="W23" s="101">
        <f t="shared" ref="W23:W86" si="75">+ROUND(I23*M23*$W$6,2)</f>
        <v>0</v>
      </c>
      <c r="X23" s="101" t="e">
        <f>+ROUND(H23*M23*(VLOOKUP(M23,TABLAS!$B$29:$D$35,3,1)+1.125%),2)</f>
        <v>#N/A</v>
      </c>
      <c r="Y23" s="101">
        <f t="shared" ref="Y23:Y86" si="76">+ROUND(H23*M23*$Y$6,2)</f>
        <v>0</v>
      </c>
      <c r="Z23" s="101" t="e">
        <f t="shared" ref="Z23:Z86" si="77">+SUM(W23:Y23)</f>
        <v>#N/A</v>
      </c>
      <c r="AA23" s="100"/>
      <c r="AB23" s="101">
        <f t="shared" ref="AB23:AB86" si="78">+U23</f>
        <v>741.87</v>
      </c>
      <c r="AC23" s="101" t="e">
        <f t="shared" ref="AC23:AC86" si="79">+Z23</f>
        <v>#N/A</v>
      </c>
      <c r="AD23" s="101">
        <f t="shared" ref="AD23:AD86" si="80">+H23*L23*4%</f>
        <v>0</v>
      </c>
      <c r="AE23" s="101" t="e">
        <f t="shared" ref="AE23:AE86" si="81">+SUM(AB23:AD23)</f>
        <v>#N/A</v>
      </c>
      <c r="AF23" s="119"/>
      <c r="AG23" s="101" t="e">
        <f t="shared" ref="AG23:AG86" si="82">+AE23+AJ23</f>
        <v>#N/A</v>
      </c>
      <c r="AH23" s="101" t="e">
        <f t="shared" ref="AH23:AH86" si="83">+AG23*16%</f>
        <v>#N/A</v>
      </c>
      <c r="AI23" s="101" t="e">
        <f t="shared" ref="AI23:AI86" si="84">+AG23+AH23</f>
        <v>#N/A</v>
      </c>
      <c r="AJ23" s="101" t="e">
        <f t="shared" ref="AJ23:AJ86" si="85">+AE23*7.21%</f>
        <v>#N/A</v>
      </c>
      <c r="AK23" s="101" t="e">
        <f t="shared" ref="AK23:AK86" si="86">+AG23/2</f>
        <v>#N/A</v>
      </c>
      <c r="AL23" s="120" t="e">
        <f>AM23*'NOM REAL'!E105</f>
        <v>#N/A</v>
      </c>
      <c r="AM23" s="101" t="e">
        <f t="shared" ref="AM23:AM86" si="87">AE23/30.4</f>
        <v>#N/A</v>
      </c>
    </row>
    <row r="24" spans="1:39" s="40" customFormat="1" ht="12.5" x14ac:dyDescent="0.25">
      <c r="A24" s="24">
        <f t="shared" si="41"/>
        <v>18</v>
      </c>
      <c r="B24" s="24"/>
      <c r="C24" s="24"/>
      <c r="D24" s="24"/>
      <c r="E24" s="24"/>
      <c r="F24" s="115">
        <f>'NOM REAL'!B106</f>
        <v>0</v>
      </c>
      <c r="G24" s="78" t="str">
        <f>NOMINA!C24</f>
        <v>Emp 018</v>
      </c>
      <c r="H24" s="117">
        <f t="shared" si="65"/>
        <v>31</v>
      </c>
      <c r="I24" s="78">
        <v>31</v>
      </c>
      <c r="J24" s="78">
        <v>0</v>
      </c>
      <c r="K24" s="78">
        <v>0</v>
      </c>
      <c r="L24" s="118">
        <f>'NOM REAL'!F106</f>
        <v>0</v>
      </c>
      <c r="M24" s="118">
        <f t="shared" si="66"/>
        <v>0</v>
      </c>
      <c r="N24" s="101">
        <f t="shared" si="67"/>
        <v>741.87</v>
      </c>
      <c r="O24" s="101">
        <f t="shared" si="68"/>
        <v>0</v>
      </c>
      <c r="P24" s="101">
        <f t="shared" si="69"/>
        <v>0</v>
      </c>
      <c r="Q24" s="101">
        <f t="shared" si="70"/>
        <v>0</v>
      </c>
      <c r="R24" s="101">
        <f t="shared" si="71"/>
        <v>0</v>
      </c>
      <c r="S24" s="101">
        <f t="shared" si="72"/>
        <v>0</v>
      </c>
      <c r="T24" s="101">
        <f t="shared" si="73"/>
        <v>0</v>
      </c>
      <c r="U24" s="101">
        <f t="shared" si="74"/>
        <v>741.87</v>
      </c>
      <c r="V24" s="119"/>
      <c r="W24" s="101">
        <f t="shared" si="75"/>
        <v>0</v>
      </c>
      <c r="X24" s="101" t="e">
        <f>+ROUND(H24*M24*(VLOOKUP(M24,TABLAS!$B$29:$D$35,3,1)+1.125%),2)</f>
        <v>#N/A</v>
      </c>
      <c r="Y24" s="101">
        <f t="shared" si="76"/>
        <v>0</v>
      </c>
      <c r="Z24" s="101" t="e">
        <f t="shared" si="77"/>
        <v>#N/A</v>
      </c>
      <c r="AA24" s="100"/>
      <c r="AB24" s="101">
        <f t="shared" si="78"/>
        <v>741.87</v>
      </c>
      <c r="AC24" s="101" t="e">
        <f t="shared" si="79"/>
        <v>#N/A</v>
      </c>
      <c r="AD24" s="101">
        <f t="shared" si="80"/>
        <v>0</v>
      </c>
      <c r="AE24" s="101" t="e">
        <f t="shared" si="81"/>
        <v>#N/A</v>
      </c>
      <c r="AF24" s="119"/>
      <c r="AG24" s="101" t="e">
        <f t="shared" si="82"/>
        <v>#N/A</v>
      </c>
      <c r="AH24" s="101" t="e">
        <f t="shared" si="83"/>
        <v>#N/A</v>
      </c>
      <c r="AI24" s="101" t="e">
        <f t="shared" si="84"/>
        <v>#N/A</v>
      </c>
      <c r="AJ24" s="101" t="e">
        <f t="shared" si="85"/>
        <v>#N/A</v>
      </c>
      <c r="AK24" s="101" t="e">
        <f t="shared" si="86"/>
        <v>#N/A</v>
      </c>
      <c r="AL24" s="120" t="e">
        <f>AM24*'NOM REAL'!E106</f>
        <v>#N/A</v>
      </c>
      <c r="AM24" s="101" t="e">
        <f t="shared" si="87"/>
        <v>#N/A</v>
      </c>
    </row>
    <row r="25" spans="1:39" s="40" customFormat="1" ht="12.5" x14ac:dyDescent="0.25">
      <c r="A25" s="24">
        <f t="shared" si="41"/>
        <v>19</v>
      </c>
      <c r="B25" s="24"/>
      <c r="C25" s="24"/>
      <c r="D25" s="24"/>
      <c r="E25" s="24"/>
      <c r="F25" s="115">
        <f>'NOM REAL'!B107</f>
        <v>0</v>
      </c>
      <c r="G25" s="78" t="str">
        <f>NOMINA!C25</f>
        <v>Emp 019</v>
      </c>
      <c r="H25" s="117">
        <f t="shared" si="65"/>
        <v>31</v>
      </c>
      <c r="I25" s="78">
        <v>31</v>
      </c>
      <c r="J25" s="78">
        <v>0</v>
      </c>
      <c r="K25" s="78">
        <v>0</v>
      </c>
      <c r="L25" s="118">
        <f>'NOM REAL'!F107</f>
        <v>0</v>
      </c>
      <c r="M25" s="118">
        <f t="shared" si="66"/>
        <v>0</v>
      </c>
      <c r="N25" s="101">
        <f t="shared" si="67"/>
        <v>741.87</v>
      </c>
      <c r="O25" s="101">
        <f t="shared" si="68"/>
        <v>0</v>
      </c>
      <c r="P25" s="101">
        <f t="shared" si="69"/>
        <v>0</v>
      </c>
      <c r="Q25" s="101">
        <f t="shared" si="70"/>
        <v>0</v>
      </c>
      <c r="R25" s="101">
        <f t="shared" si="71"/>
        <v>0</v>
      </c>
      <c r="S25" s="101">
        <f t="shared" si="72"/>
        <v>0</v>
      </c>
      <c r="T25" s="101">
        <f t="shared" si="73"/>
        <v>0</v>
      </c>
      <c r="U25" s="101">
        <f t="shared" si="74"/>
        <v>741.87</v>
      </c>
      <c r="V25" s="119"/>
      <c r="W25" s="101">
        <f t="shared" si="75"/>
        <v>0</v>
      </c>
      <c r="X25" s="101" t="e">
        <f>+ROUND(H25*M25*(VLOOKUP(M25,TABLAS!$B$29:$D$35,3,1)+1.125%),2)</f>
        <v>#N/A</v>
      </c>
      <c r="Y25" s="101">
        <f t="shared" si="76"/>
        <v>0</v>
      </c>
      <c r="Z25" s="101" t="e">
        <f t="shared" si="77"/>
        <v>#N/A</v>
      </c>
      <c r="AA25" s="100"/>
      <c r="AB25" s="101">
        <f t="shared" si="78"/>
        <v>741.87</v>
      </c>
      <c r="AC25" s="101" t="e">
        <f t="shared" si="79"/>
        <v>#N/A</v>
      </c>
      <c r="AD25" s="101">
        <f t="shared" si="80"/>
        <v>0</v>
      </c>
      <c r="AE25" s="101" t="e">
        <f t="shared" si="81"/>
        <v>#N/A</v>
      </c>
      <c r="AF25" s="119"/>
      <c r="AG25" s="101" t="e">
        <f t="shared" si="82"/>
        <v>#N/A</v>
      </c>
      <c r="AH25" s="101" t="e">
        <f t="shared" si="83"/>
        <v>#N/A</v>
      </c>
      <c r="AI25" s="101" t="e">
        <f t="shared" si="84"/>
        <v>#N/A</v>
      </c>
      <c r="AJ25" s="101" t="e">
        <f t="shared" si="85"/>
        <v>#N/A</v>
      </c>
      <c r="AK25" s="101" t="e">
        <f t="shared" si="86"/>
        <v>#N/A</v>
      </c>
      <c r="AL25" s="120" t="e">
        <f>AM25*'NOM REAL'!E107</f>
        <v>#N/A</v>
      </c>
      <c r="AM25" s="101" t="e">
        <f t="shared" si="87"/>
        <v>#N/A</v>
      </c>
    </row>
    <row r="26" spans="1:39" s="40" customFormat="1" ht="12.5" x14ac:dyDescent="0.25">
      <c r="A26" s="24">
        <f t="shared" si="41"/>
        <v>20</v>
      </c>
      <c r="B26" s="24"/>
      <c r="C26" s="24"/>
      <c r="D26" s="24"/>
      <c r="E26" s="24"/>
      <c r="F26" s="115">
        <f>'NOM REAL'!B108</f>
        <v>0</v>
      </c>
      <c r="G26" s="78" t="str">
        <f>NOMINA!C26</f>
        <v>Emp 020</v>
      </c>
      <c r="H26" s="117">
        <f t="shared" si="65"/>
        <v>31</v>
      </c>
      <c r="I26" s="78">
        <v>31</v>
      </c>
      <c r="J26" s="78">
        <v>0</v>
      </c>
      <c r="K26" s="78">
        <v>0</v>
      </c>
      <c r="L26" s="118">
        <f>'NOM REAL'!F108</f>
        <v>0</v>
      </c>
      <c r="M26" s="118">
        <f t="shared" si="66"/>
        <v>0</v>
      </c>
      <c r="N26" s="101">
        <f t="shared" si="67"/>
        <v>741.87</v>
      </c>
      <c r="O26" s="101">
        <f t="shared" si="68"/>
        <v>0</v>
      </c>
      <c r="P26" s="101">
        <f t="shared" si="69"/>
        <v>0</v>
      </c>
      <c r="Q26" s="101">
        <f t="shared" si="70"/>
        <v>0</v>
      </c>
      <c r="R26" s="101">
        <f t="shared" si="71"/>
        <v>0</v>
      </c>
      <c r="S26" s="101">
        <f t="shared" si="72"/>
        <v>0</v>
      </c>
      <c r="T26" s="101">
        <f t="shared" si="73"/>
        <v>0</v>
      </c>
      <c r="U26" s="101">
        <f t="shared" si="74"/>
        <v>741.87</v>
      </c>
      <c r="V26" s="119"/>
      <c r="W26" s="101">
        <f t="shared" si="75"/>
        <v>0</v>
      </c>
      <c r="X26" s="101" t="e">
        <f>+ROUND(H26*M26*(VLOOKUP(M26,TABLAS!$B$29:$D$35,3,1)+1.125%),2)</f>
        <v>#N/A</v>
      </c>
      <c r="Y26" s="101">
        <f t="shared" si="76"/>
        <v>0</v>
      </c>
      <c r="Z26" s="101" t="e">
        <f t="shared" si="77"/>
        <v>#N/A</v>
      </c>
      <c r="AA26" s="100"/>
      <c r="AB26" s="101">
        <f t="shared" si="78"/>
        <v>741.87</v>
      </c>
      <c r="AC26" s="101" t="e">
        <f t="shared" si="79"/>
        <v>#N/A</v>
      </c>
      <c r="AD26" s="101">
        <f t="shared" si="80"/>
        <v>0</v>
      </c>
      <c r="AE26" s="101" t="e">
        <f t="shared" si="81"/>
        <v>#N/A</v>
      </c>
      <c r="AF26" s="119"/>
      <c r="AG26" s="101" t="e">
        <f t="shared" si="82"/>
        <v>#N/A</v>
      </c>
      <c r="AH26" s="101" t="e">
        <f t="shared" si="83"/>
        <v>#N/A</v>
      </c>
      <c r="AI26" s="101" t="e">
        <f t="shared" si="84"/>
        <v>#N/A</v>
      </c>
      <c r="AJ26" s="101" t="e">
        <f t="shared" si="85"/>
        <v>#N/A</v>
      </c>
      <c r="AK26" s="101" t="e">
        <f t="shared" si="86"/>
        <v>#N/A</v>
      </c>
      <c r="AL26" s="120" t="e">
        <f>AM26*'NOM REAL'!E108</f>
        <v>#N/A</v>
      </c>
      <c r="AM26" s="101" t="e">
        <f t="shared" si="87"/>
        <v>#N/A</v>
      </c>
    </row>
    <row r="27" spans="1:39" s="40" customFormat="1" ht="12.5" x14ac:dyDescent="0.25">
      <c r="A27" s="24">
        <f t="shared" si="41"/>
        <v>21</v>
      </c>
      <c r="B27" s="24"/>
      <c r="C27" s="24"/>
      <c r="D27" s="24"/>
      <c r="E27" s="24"/>
      <c r="F27" s="115">
        <f>'NOM REAL'!B109</f>
        <v>0</v>
      </c>
      <c r="G27" s="78" t="str">
        <f>NOMINA!C27</f>
        <v>Emp 021</v>
      </c>
      <c r="H27" s="117">
        <f t="shared" si="65"/>
        <v>31</v>
      </c>
      <c r="I27" s="78">
        <v>31</v>
      </c>
      <c r="J27" s="78">
        <v>0</v>
      </c>
      <c r="K27" s="78">
        <v>0</v>
      </c>
      <c r="L27" s="118">
        <f>'NOM REAL'!F109</f>
        <v>0</v>
      </c>
      <c r="M27" s="118">
        <f t="shared" si="66"/>
        <v>0</v>
      </c>
      <c r="N27" s="101">
        <f t="shared" si="67"/>
        <v>741.87</v>
      </c>
      <c r="O27" s="101">
        <f t="shared" si="68"/>
        <v>0</v>
      </c>
      <c r="P27" s="101">
        <f t="shared" si="69"/>
        <v>0</v>
      </c>
      <c r="Q27" s="101">
        <f t="shared" si="70"/>
        <v>0</v>
      </c>
      <c r="R27" s="101">
        <f t="shared" si="71"/>
        <v>0</v>
      </c>
      <c r="S27" s="101">
        <f t="shared" si="72"/>
        <v>0</v>
      </c>
      <c r="T27" s="101">
        <f t="shared" si="73"/>
        <v>0</v>
      </c>
      <c r="U27" s="101">
        <f t="shared" si="74"/>
        <v>741.87</v>
      </c>
      <c r="V27" s="119"/>
      <c r="W27" s="101">
        <f t="shared" si="75"/>
        <v>0</v>
      </c>
      <c r="X27" s="101" t="e">
        <f>+ROUND(H27*M27*(VLOOKUP(M27,TABLAS!$B$29:$D$35,3,1)+1.125%),2)</f>
        <v>#N/A</v>
      </c>
      <c r="Y27" s="101">
        <f t="shared" si="76"/>
        <v>0</v>
      </c>
      <c r="Z27" s="101" t="e">
        <f t="shared" si="77"/>
        <v>#N/A</v>
      </c>
      <c r="AA27" s="100"/>
      <c r="AB27" s="101">
        <f t="shared" si="78"/>
        <v>741.87</v>
      </c>
      <c r="AC27" s="101" t="e">
        <f t="shared" si="79"/>
        <v>#N/A</v>
      </c>
      <c r="AD27" s="101">
        <f t="shared" si="80"/>
        <v>0</v>
      </c>
      <c r="AE27" s="101" t="e">
        <f t="shared" si="81"/>
        <v>#N/A</v>
      </c>
      <c r="AF27" s="119"/>
      <c r="AG27" s="101" t="e">
        <f t="shared" si="82"/>
        <v>#N/A</v>
      </c>
      <c r="AH27" s="101" t="e">
        <f t="shared" si="83"/>
        <v>#N/A</v>
      </c>
      <c r="AI27" s="101" t="e">
        <f t="shared" si="84"/>
        <v>#N/A</v>
      </c>
      <c r="AJ27" s="101" t="e">
        <f t="shared" si="85"/>
        <v>#N/A</v>
      </c>
      <c r="AK27" s="101" t="e">
        <f t="shared" si="86"/>
        <v>#N/A</v>
      </c>
      <c r="AL27" s="120" t="e">
        <f>AM27*'NOM REAL'!E109</f>
        <v>#N/A</v>
      </c>
      <c r="AM27" s="101" t="e">
        <f t="shared" si="87"/>
        <v>#N/A</v>
      </c>
    </row>
    <row r="28" spans="1:39" s="40" customFormat="1" ht="12.5" x14ac:dyDescent="0.25">
      <c r="A28" s="24">
        <f t="shared" si="41"/>
        <v>22</v>
      </c>
      <c r="B28" s="24"/>
      <c r="C28" s="24"/>
      <c r="D28" s="24"/>
      <c r="E28" s="24"/>
      <c r="F28" s="115">
        <f>'NOM REAL'!B110</f>
        <v>0</v>
      </c>
      <c r="G28" s="78" t="str">
        <f>NOMINA!C28</f>
        <v>Emp 022</v>
      </c>
      <c r="H28" s="117">
        <f t="shared" si="65"/>
        <v>31</v>
      </c>
      <c r="I28" s="78">
        <v>31</v>
      </c>
      <c r="J28" s="78">
        <v>0</v>
      </c>
      <c r="K28" s="78">
        <v>0</v>
      </c>
      <c r="L28" s="118">
        <f>'NOM REAL'!F110</f>
        <v>0</v>
      </c>
      <c r="M28" s="118">
        <f t="shared" si="66"/>
        <v>0</v>
      </c>
      <c r="N28" s="101">
        <f t="shared" si="67"/>
        <v>741.87</v>
      </c>
      <c r="O28" s="101">
        <f t="shared" si="68"/>
        <v>0</v>
      </c>
      <c r="P28" s="101">
        <f t="shared" si="69"/>
        <v>0</v>
      </c>
      <c r="Q28" s="101">
        <f t="shared" si="70"/>
        <v>0</v>
      </c>
      <c r="R28" s="101">
        <f t="shared" si="71"/>
        <v>0</v>
      </c>
      <c r="S28" s="101">
        <f t="shared" si="72"/>
        <v>0</v>
      </c>
      <c r="T28" s="101">
        <f t="shared" si="73"/>
        <v>0</v>
      </c>
      <c r="U28" s="101">
        <f t="shared" si="74"/>
        <v>741.87</v>
      </c>
      <c r="V28" s="119"/>
      <c r="W28" s="101">
        <f t="shared" si="75"/>
        <v>0</v>
      </c>
      <c r="X28" s="101" t="e">
        <f>+ROUND(H28*M28*(VLOOKUP(M28,TABLAS!$B$29:$D$35,3,1)+1.125%),2)</f>
        <v>#N/A</v>
      </c>
      <c r="Y28" s="101">
        <f t="shared" si="76"/>
        <v>0</v>
      </c>
      <c r="Z28" s="101" t="e">
        <f t="shared" si="77"/>
        <v>#N/A</v>
      </c>
      <c r="AA28" s="100"/>
      <c r="AB28" s="101">
        <f t="shared" si="78"/>
        <v>741.87</v>
      </c>
      <c r="AC28" s="101" t="e">
        <f t="shared" si="79"/>
        <v>#N/A</v>
      </c>
      <c r="AD28" s="101">
        <f t="shared" si="80"/>
        <v>0</v>
      </c>
      <c r="AE28" s="101" t="e">
        <f t="shared" si="81"/>
        <v>#N/A</v>
      </c>
      <c r="AF28" s="119"/>
      <c r="AG28" s="101" t="e">
        <f t="shared" si="82"/>
        <v>#N/A</v>
      </c>
      <c r="AH28" s="101" t="e">
        <f t="shared" si="83"/>
        <v>#N/A</v>
      </c>
      <c r="AI28" s="101" t="e">
        <f t="shared" si="84"/>
        <v>#N/A</v>
      </c>
      <c r="AJ28" s="101" t="e">
        <f t="shared" si="85"/>
        <v>#N/A</v>
      </c>
      <c r="AK28" s="101" t="e">
        <f t="shared" si="86"/>
        <v>#N/A</v>
      </c>
      <c r="AL28" s="120" t="e">
        <f>AM28*'NOM REAL'!E110</f>
        <v>#N/A</v>
      </c>
      <c r="AM28" s="101" t="e">
        <f t="shared" si="87"/>
        <v>#N/A</v>
      </c>
    </row>
    <row r="29" spans="1:39" s="40" customFormat="1" ht="12.5" x14ac:dyDescent="0.25">
      <c r="A29" s="24">
        <f t="shared" si="41"/>
        <v>23</v>
      </c>
      <c r="B29" s="24"/>
      <c r="C29" s="24"/>
      <c r="D29" s="24"/>
      <c r="E29" s="24"/>
      <c r="F29" s="115">
        <f>'NOM REAL'!B111</f>
        <v>0</v>
      </c>
      <c r="G29" s="78" t="str">
        <f>NOMINA!C29</f>
        <v>Emp 023</v>
      </c>
      <c r="H29" s="117">
        <f t="shared" si="65"/>
        <v>31</v>
      </c>
      <c r="I29" s="78">
        <v>31</v>
      </c>
      <c r="J29" s="78">
        <v>0</v>
      </c>
      <c r="K29" s="78">
        <v>0</v>
      </c>
      <c r="L29" s="118">
        <f>'NOM REAL'!F111</f>
        <v>0</v>
      </c>
      <c r="M29" s="118">
        <f t="shared" si="66"/>
        <v>0</v>
      </c>
      <c r="N29" s="101">
        <f t="shared" si="67"/>
        <v>741.87</v>
      </c>
      <c r="O29" s="101">
        <f t="shared" si="68"/>
        <v>0</v>
      </c>
      <c r="P29" s="101">
        <f t="shared" si="69"/>
        <v>0</v>
      </c>
      <c r="Q29" s="101">
        <f t="shared" si="70"/>
        <v>0</v>
      </c>
      <c r="R29" s="101">
        <f t="shared" si="71"/>
        <v>0</v>
      </c>
      <c r="S29" s="101">
        <f t="shared" si="72"/>
        <v>0</v>
      </c>
      <c r="T29" s="101">
        <f t="shared" si="73"/>
        <v>0</v>
      </c>
      <c r="U29" s="101">
        <f t="shared" si="74"/>
        <v>741.87</v>
      </c>
      <c r="V29" s="119"/>
      <c r="W29" s="101">
        <f t="shared" si="75"/>
        <v>0</v>
      </c>
      <c r="X29" s="101" t="e">
        <f>+ROUND(H29*M29*(VLOOKUP(M29,TABLAS!$B$29:$D$35,3,1)+1.125%),2)</f>
        <v>#N/A</v>
      </c>
      <c r="Y29" s="101">
        <f t="shared" si="76"/>
        <v>0</v>
      </c>
      <c r="Z29" s="101" t="e">
        <f t="shared" si="77"/>
        <v>#N/A</v>
      </c>
      <c r="AA29" s="100"/>
      <c r="AB29" s="101">
        <f t="shared" si="78"/>
        <v>741.87</v>
      </c>
      <c r="AC29" s="101" t="e">
        <f t="shared" si="79"/>
        <v>#N/A</v>
      </c>
      <c r="AD29" s="101">
        <f t="shared" si="80"/>
        <v>0</v>
      </c>
      <c r="AE29" s="101" t="e">
        <f t="shared" si="81"/>
        <v>#N/A</v>
      </c>
      <c r="AF29" s="119"/>
      <c r="AG29" s="101" t="e">
        <f t="shared" si="82"/>
        <v>#N/A</v>
      </c>
      <c r="AH29" s="101" t="e">
        <f t="shared" si="83"/>
        <v>#N/A</v>
      </c>
      <c r="AI29" s="101" t="e">
        <f t="shared" si="84"/>
        <v>#N/A</v>
      </c>
      <c r="AJ29" s="101" t="e">
        <f t="shared" si="85"/>
        <v>#N/A</v>
      </c>
      <c r="AK29" s="101" t="e">
        <f t="shared" si="86"/>
        <v>#N/A</v>
      </c>
      <c r="AL29" s="120" t="e">
        <f>AM29*'NOM REAL'!E111</f>
        <v>#N/A</v>
      </c>
      <c r="AM29" s="101" t="e">
        <f t="shared" si="87"/>
        <v>#N/A</v>
      </c>
    </row>
    <row r="30" spans="1:39" s="40" customFormat="1" ht="12.5" x14ac:dyDescent="0.25">
      <c r="A30" s="24">
        <f t="shared" si="41"/>
        <v>24</v>
      </c>
      <c r="B30" s="24"/>
      <c r="C30" s="24"/>
      <c r="D30" s="24"/>
      <c r="E30" s="24"/>
      <c r="F30" s="115">
        <f>'NOM REAL'!B112</f>
        <v>0</v>
      </c>
      <c r="G30" s="78" t="str">
        <f>NOMINA!C30</f>
        <v>Emp 024</v>
      </c>
      <c r="H30" s="117">
        <f t="shared" si="65"/>
        <v>31</v>
      </c>
      <c r="I30" s="78">
        <v>31</v>
      </c>
      <c r="J30" s="78">
        <v>0</v>
      </c>
      <c r="K30" s="78">
        <v>0</v>
      </c>
      <c r="L30" s="118">
        <f>'NOM REAL'!F112</f>
        <v>0</v>
      </c>
      <c r="M30" s="118">
        <f t="shared" si="66"/>
        <v>0</v>
      </c>
      <c r="N30" s="101">
        <f t="shared" si="67"/>
        <v>741.87</v>
      </c>
      <c r="O30" s="101">
        <f t="shared" si="68"/>
        <v>0</v>
      </c>
      <c r="P30" s="101">
        <f t="shared" si="69"/>
        <v>0</v>
      </c>
      <c r="Q30" s="101">
        <f t="shared" si="70"/>
        <v>0</v>
      </c>
      <c r="R30" s="101">
        <f t="shared" si="71"/>
        <v>0</v>
      </c>
      <c r="S30" s="101">
        <f t="shared" si="72"/>
        <v>0</v>
      </c>
      <c r="T30" s="101">
        <f t="shared" si="73"/>
        <v>0</v>
      </c>
      <c r="U30" s="101">
        <f t="shared" si="74"/>
        <v>741.87</v>
      </c>
      <c r="V30" s="119"/>
      <c r="W30" s="101">
        <f t="shared" si="75"/>
        <v>0</v>
      </c>
      <c r="X30" s="101" t="e">
        <f>+ROUND(H30*M30*(VLOOKUP(M30,TABLAS!$B$29:$D$35,3,1)+1.125%),2)</f>
        <v>#N/A</v>
      </c>
      <c r="Y30" s="101">
        <f t="shared" si="76"/>
        <v>0</v>
      </c>
      <c r="Z30" s="101" t="e">
        <f t="shared" si="77"/>
        <v>#N/A</v>
      </c>
      <c r="AA30" s="100"/>
      <c r="AB30" s="101">
        <f t="shared" si="78"/>
        <v>741.87</v>
      </c>
      <c r="AC30" s="101" t="e">
        <f t="shared" si="79"/>
        <v>#N/A</v>
      </c>
      <c r="AD30" s="101">
        <f t="shared" si="80"/>
        <v>0</v>
      </c>
      <c r="AE30" s="101" t="e">
        <f t="shared" si="81"/>
        <v>#N/A</v>
      </c>
      <c r="AF30" s="119"/>
      <c r="AG30" s="101" t="e">
        <f t="shared" si="82"/>
        <v>#N/A</v>
      </c>
      <c r="AH30" s="101" t="e">
        <f t="shared" si="83"/>
        <v>#N/A</v>
      </c>
      <c r="AI30" s="101" t="e">
        <f t="shared" si="84"/>
        <v>#N/A</v>
      </c>
      <c r="AJ30" s="101" t="e">
        <f t="shared" si="85"/>
        <v>#N/A</v>
      </c>
      <c r="AK30" s="101" t="e">
        <f t="shared" si="86"/>
        <v>#N/A</v>
      </c>
      <c r="AL30" s="120" t="e">
        <f>AM30*'NOM REAL'!E112</f>
        <v>#N/A</v>
      </c>
      <c r="AM30" s="101" t="e">
        <f t="shared" si="87"/>
        <v>#N/A</v>
      </c>
    </row>
    <row r="31" spans="1:39" s="40" customFormat="1" ht="12.5" x14ac:dyDescent="0.25">
      <c r="A31" s="24">
        <f t="shared" si="41"/>
        <v>25</v>
      </c>
      <c r="B31" s="24"/>
      <c r="C31" s="24"/>
      <c r="D31" s="24"/>
      <c r="E31" s="24"/>
      <c r="F31" s="115">
        <f>'NOM REAL'!B113</f>
        <v>0</v>
      </c>
      <c r="G31" s="78" t="str">
        <f>NOMINA!C31</f>
        <v>Emp 025</v>
      </c>
      <c r="H31" s="117">
        <f t="shared" si="65"/>
        <v>31</v>
      </c>
      <c r="I31" s="78">
        <v>31</v>
      </c>
      <c r="J31" s="78">
        <v>0</v>
      </c>
      <c r="K31" s="78">
        <v>0</v>
      </c>
      <c r="L31" s="118">
        <f>'NOM REAL'!F113</f>
        <v>0</v>
      </c>
      <c r="M31" s="118">
        <f t="shared" si="66"/>
        <v>0</v>
      </c>
      <c r="N31" s="101">
        <f t="shared" si="67"/>
        <v>741.87</v>
      </c>
      <c r="O31" s="101">
        <f t="shared" si="68"/>
        <v>0</v>
      </c>
      <c r="P31" s="101">
        <f t="shared" si="69"/>
        <v>0</v>
      </c>
      <c r="Q31" s="101">
        <f t="shared" si="70"/>
        <v>0</v>
      </c>
      <c r="R31" s="101">
        <f t="shared" si="71"/>
        <v>0</v>
      </c>
      <c r="S31" s="101">
        <f t="shared" si="72"/>
        <v>0</v>
      </c>
      <c r="T31" s="101">
        <f t="shared" si="73"/>
        <v>0</v>
      </c>
      <c r="U31" s="101">
        <f t="shared" si="74"/>
        <v>741.87</v>
      </c>
      <c r="V31" s="119"/>
      <c r="W31" s="101">
        <f t="shared" si="75"/>
        <v>0</v>
      </c>
      <c r="X31" s="101" t="e">
        <f>+ROUND(H31*M31*(VLOOKUP(M31,TABLAS!$B$29:$D$35,3,1)+1.125%),2)</f>
        <v>#N/A</v>
      </c>
      <c r="Y31" s="101">
        <f t="shared" si="76"/>
        <v>0</v>
      </c>
      <c r="Z31" s="101" t="e">
        <f t="shared" si="77"/>
        <v>#N/A</v>
      </c>
      <c r="AA31" s="100"/>
      <c r="AB31" s="101">
        <f t="shared" si="78"/>
        <v>741.87</v>
      </c>
      <c r="AC31" s="101" t="e">
        <f t="shared" si="79"/>
        <v>#N/A</v>
      </c>
      <c r="AD31" s="101">
        <f t="shared" si="80"/>
        <v>0</v>
      </c>
      <c r="AE31" s="101" t="e">
        <f t="shared" si="81"/>
        <v>#N/A</v>
      </c>
      <c r="AF31" s="119"/>
      <c r="AG31" s="101" t="e">
        <f t="shared" si="82"/>
        <v>#N/A</v>
      </c>
      <c r="AH31" s="101" t="e">
        <f t="shared" si="83"/>
        <v>#N/A</v>
      </c>
      <c r="AI31" s="101" t="e">
        <f t="shared" si="84"/>
        <v>#N/A</v>
      </c>
      <c r="AJ31" s="101" t="e">
        <f t="shared" si="85"/>
        <v>#N/A</v>
      </c>
      <c r="AK31" s="101" t="e">
        <f t="shared" si="86"/>
        <v>#N/A</v>
      </c>
      <c r="AL31" s="120" t="e">
        <f>AM31*'NOM REAL'!E113</f>
        <v>#N/A</v>
      </c>
      <c r="AM31" s="101" t="e">
        <f t="shared" si="87"/>
        <v>#N/A</v>
      </c>
    </row>
    <row r="32" spans="1:39" s="40" customFormat="1" ht="12.5" x14ac:dyDescent="0.25">
      <c r="A32" s="24">
        <f t="shared" si="41"/>
        <v>26</v>
      </c>
      <c r="B32" s="24"/>
      <c r="C32" s="24"/>
      <c r="D32" s="24"/>
      <c r="E32" s="24"/>
      <c r="F32" s="115">
        <f>'NOM REAL'!B114</f>
        <v>0</v>
      </c>
      <c r="G32" s="78" t="str">
        <f>NOMINA!C32</f>
        <v>Emp 026</v>
      </c>
      <c r="H32" s="117">
        <f t="shared" si="65"/>
        <v>31</v>
      </c>
      <c r="I32" s="78">
        <v>31</v>
      </c>
      <c r="J32" s="78">
        <v>0</v>
      </c>
      <c r="K32" s="78">
        <v>0</v>
      </c>
      <c r="L32" s="118">
        <f>'NOM REAL'!F114</f>
        <v>0</v>
      </c>
      <c r="M32" s="118">
        <f t="shared" si="66"/>
        <v>0</v>
      </c>
      <c r="N32" s="101">
        <f t="shared" si="67"/>
        <v>741.87</v>
      </c>
      <c r="O32" s="101">
        <f t="shared" si="68"/>
        <v>0</v>
      </c>
      <c r="P32" s="101">
        <f t="shared" si="69"/>
        <v>0</v>
      </c>
      <c r="Q32" s="101">
        <f t="shared" si="70"/>
        <v>0</v>
      </c>
      <c r="R32" s="101">
        <f t="shared" si="71"/>
        <v>0</v>
      </c>
      <c r="S32" s="101">
        <f t="shared" si="72"/>
        <v>0</v>
      </c>
      <c r="T32" s="101">
        <f t="shared" si="73"/>
        <v>0</v>
      </c>
      <c r="U32" s="101">
        <f t="shared" si="74"/>
        <v>741.87</v>
      </c>
      <c r="V32" s="119"/>
      <c r="W32" s="101">
        <f t="shared" si="75"/>
        <v>0</v>
      </c>
      <c r="X32" s="101" t="e">
        <f>+ROUND(H32*M32*(VLOOKUP(M32,TABLAS!$B$29:$D$35,3,1)+1.125%),2)</f>
        <v>#N/A</v>
      </c>
      <c r="Y32" s="101">
        <f t="shared" si="76"/>
        <v>0</v>
      </c>
      <c r="Z32" s="101" t="e">
        <f t="shared" si="77"/>
        <v>#N/A</v>
      </c>
      <c r="AA32" s="100"/>
      <c r="AB32" s="101">
        <f t="shared" si="78"/>
        <v>741.87</v>
      </c>
      <c r="AC32" s="101" t="e">
        <f t="shared" si="79"/>
        <v>#N/A</v>
      </c>
      <c r="AD32" s="101">
        <f t="shared" si="80"/>
        <v>0</v>
      </c>
      <c r="AE32" s="101" t="e">
        <f t="shared" si="81"/>
        <v>#N/A</v>
      </c>
      <c r="AF32" s="119"/>
      <c r="AG32" s="101" t="e">
        <f t="shared" si="82"/>
        <v>#N/A</v>
      </c>
      <c r="AH32" s="101" t="e">
        <f t="shared" si="83"/>
        <v>#N/A</v>
      </c>
      <c r="AI32" s="101" t="e">
        <f t="shared" si="84"/>
        <v>#N/A</v>
      </c>
      <c r="AJ32" s="101" t="e">
        <f t="shared" si="85"/>
        <v>#N/A</v>
      </c>
      <c r="AK32" s="101" t="e">
        <f t="shared" si="86"/>
        <v>#N/A</v>
      </c>
      <c r="AL32" s="120" t="e">
        <f>AM32*'NOM REAL'!E114</f>
        <v>#N/A</v>
      </c>
      <c r="AM32" s="101" t="e">
        <f t="shared" si="87"/>
        <v>#N/A</v>
      </c>
    </row>
    <row r="33" spans="1:39" s="40" customFormat="1" ht="12.5" x14ac:dyDescent="0.25">
      <c r="A33" s="24">
        <f t="shared" si="41"/>
        <v>27</v>
      </c>
      <c r="B33" s="24"/>
      <c r="C33" s="24"/>
      <c r="D33" s="24"/>
      <c r="E33" s="24"/>
      <c r="F33" s="115">
        <f>'NOM REAL'!B115</f>
        <v>0</v>
      </c>
      <c r="G33" s="78" t="str">
        <f>NOMINA!C33</f>
        <v>Emp 027</v>
      </c>
      <c r="H33" s="117">
        <f t="shared" si="65"/>
        <v>31</v>
      </c>
      <c r="I33" s="78">
        <v>31</v>
      </c>
      <c r="J33" s="78">
        <v>0</v>
      </c>
      <c r="K33" s="78">
        <v>0</v>
      </c>
      <c r="L33" s="118">
        <f>'NOM REAL'!F115</f>
        <v>0</v>
      </c>
      <c r="M33" s="118">
        <f t="shared" si="66"/>
        <v>0</v>
      </c>
      <c r="N33" s="101">
        <f t="shared" si="67"/>
        <v>741.87</v>
      </c>
      <c r="O33" s="101">
        <f t="shared" si="68"/>
        <v>0</v>
      </c>
      <c r="P33" s="101">
        <f t="shared" si="69"/>
        <v>0</v>
      </c>
      <c r="Q33" s="101">
        <f t="shared" si="70"/>
        <v>0</v>
      </c>
      <c r="R33" s="101">
        <f t="shared" si="71"/>
        <v>0</v>
      </c>
      <c r="S33" s="101">
        <f t="shared" si="72"/>
        <v>0</v>
      </c>
      <c r="T33" s="101">
        <f t="shared" si="73"/>
        <v>0</v>
      </c>
      <c r="U33" s="101">
        <f t="shared" si="74"/>
        <v>741.87</v>
      </c>
      <c r="V33" s="119"/>
      <c r="W33" s="101">
        <f t="shared" si="75"/>
        <v>0</v>
      </c>
      <c r="X33" s="101" t="e">
        <f>+ROUND(H33*M33*(VLOOKUP(M33,TABLAS!$B$29:$D$35,3,1)+1.125%),2)</f>
        <v>#N/A</v>
      </c>
      <c r="Y33" s="101">
        <f t="shared" si="76"/>
        <v>0</v>
      </c>
      <c r="Z33" s="101" t="e">
        <f t="shared" si="77"/>
        <v>#N/A</v>
      </c>
      <c r="AA33" s="100"/>
      <c r="AB33" s="101">
        <f t="shared" si="78"/>
        <v>741.87</v>
      </c>
      <c r="AC33" s="101" t="e">
        <f t="shared" si="79"/>
        <v>#N/A</v>
      </c>
      <c r="AD33" s="101">
        <f t="shared" si="80"/>
        <v>0</v>
      </c>
      <c r="AE33" s="101" t="e">
        <f t="shared" si="81"/>
        <v>#N/A</v>
      </c>
      <c r="AF33" s="119"/>
      <c r="AG33" s="101" t="e">
        <f t="shared" si="82"/>
        <v>#N/A</v>
      </c>
      <c r="AH33" s="101" t="e">
        <f t="shared" si="83"/>
        <v>#N/A</v>
      </c>
      <c r="AI33" s="101" t="e">
        <f t="shared" si="84"/>
        <v>#N/A</v>
      </c>
      <c r="AJ33" s="101" t="e">
        <f t="shared" si="85"/>
        <v>#N/A</v>
      </c>
      <c r="AK33" s="101" t="e">
        <f t="shared" si="86"/>
        <v>#N/A</v>
      </c>
      <c r="AL33" s="120" t="e">
        <f>AM33*'NOM REAL'!E115</f>
        <v>#N/A</v>
      </c>
      <c r="AM33" s="101" t="e">
        <f t="shared" si="87"/>
        <v>#N/A</v>
      </c>
    </row>
    <row r="34" spans="1:39" s="40" customFormat="1" ht="12.5" x14ac:dyDescent="0.25">
      <c r="A34" s="24">
        <f t="shared" si="41"/>
        <v>28</v>
      </c>
      <c r="B34" s="24"/>
      <c r="C34" s="24"/>
      <c r="D34" s="24"/>
      <c r="E34" s="24"/>
      <c r="F34" s="115">
        <f>'NOM REAL'!B116</f>
        <v>0</v>
      </c>
      <c r="G34" s="78" t="str">
        <f>NOMINA!C34</f>
        <v>Emp 028</v>
      </c>
      <c r="H34" s="117">
        <f t="shared" si="65"/>
        <v>31</v>
      </c>
      <c r="I34" s="78">
        <v>31</v>
      </c>
      <c r="J34" s="78">
        <v>0</v>
      </c>
      <c r="K34" s="78">
        <v>0</v>
      </c>
      <c r="L34" s="118">
        <f>'NOM REAL'!F116</f>
        <v>0</v>
      </c>
      <c r="M34" s="118">
        <f t="shared" si="66"/>
        <v>0</v>
      </c>
      <c r="N34" s="101">
        <f t="shared" si="67"/>
        <v>741.87</v>
      </c>
      <c r="O34" s="101">
        <f t="shared" si="68"/>
        <v>0</v>
      </c>
      <c r="P34" s="101">
        <f t="shared" si="69"/>
        <v>0</v>
      </c>
      <c r="Q34" s="101">
        <f t="shared" si="70"/>
        <v>0</v>
      </c>
      <c r="R34" s="101">
        <f t="shared" si="71"/>
        <v>0</v>
      </c>
      <c r="S34" s="101">
        <f t="shared" si="72"/>
        <v>0</v>
      </c>
      <c r="T34" s="101">
        <f t="shared" si="73"/>
        <v>0</v>
      </c>
      <c r="U34" s="101">
        <f t="shared" si="74"/>
        <v>741.87</v>
      </c>
      <c r="V34" s="119"/>
      <c r="W34" s="101">
        <f t="shared" si="75"/>
        <v>0</v>
      </c>
      <c r="X34" s="101" t="e">
        <f>+ROUND(H34*M34*(VLOOKUP(M34,TABLAS!$B$29:$D$35,3,1)+1.125%),2)</f>
        <v>#N/A</v>
      </c>
      <c r="Y34" s="101">
        <f t="shared" si="76"/>
        <v>0</v>
      </c>
      <c r="Z34" s="101" t="e">
        <f t="shared" si="77"/>
        <v>#N/A</v>
      </c>
      <c r="AA34" s="100"/>
      <c r="AB34" s="101">
        <f t="shared" si="78"/>
        <v>741.87</v>
      </c>
      <c r="AC34" s="101" t="e">
        <f t="shared" si="79"/>
        <v>#N/A</v>
      </c>
      <c r="AD34" s="101">
        <f t="shared" si="80"/>
        <v>0</v>
      </c>
      <c r="AE34" s="101" t="e">
        <f t="shared" si="81"/>
        <v>#N/A</v>
      </c>
      <c r="AF34" s="119"/>
      <c r="AG34" s="101" t="e">
        <f t="shared" si="82"/>
        <v>#N/A</v>
      </c>
      <c r="AH34" s="101" t="e">
        <f t="shared" si="83"/>
        <v>#N/A</v>
      </c>
      <c r="AI34" s="101" t="e">
        <f t="shared" si="84"/>
        <v>#N/A</v>
      </c>
      <c r="AJ34" s="101" t="e">
        <f t="shared" si="85"/>
        <v>#N/A</v>
      </c>
      <c r="AK34" s="101" t="e">
        <f t="shared" si="86"/>
        <v>#N/A</v>
      </c>
      <c r="AL34" s="120" t="e">
        <f>AM34*'NOM REAL'!E116</f>
        <v>#N/A</v>
      </c>
      <c r="AM34" s="101" t="e">
        <f t="shared" si="87"/>
        <v>#N/A</v>
      </c>
    </row>
    <row r="35" spans="1:39" s="40" customFormat="1" ht="12.5" x14ac:dyDescent="0.25">
      <c r="A35" s="24">
        <f t="shared" si="41"/>
        <v>29</v>
      </c>
      <c r="B35" s="24"/>
      <c r="C35" s="24"/>
      <c r="D35" s="24"/>
      <c r="E35" s="24"/>
      <c r="F35" s="115">
        <f>'NOM REAL'!B117</f>
        <v>0</v>
      </c>
      <c r="G35" s="78" t="str">
        <f>NOMINA!C35</f>
        <v>Emp 029</v>
      </c>
      <c r="H35" s="117">
        <f t="shared" si="65"/>
        <v>31</v>
      </c>
      <c r="I35" s="78">
        <v>31</v>
      </c>
      <c r="J35" s="78">
        <v>0</v>
      </c>
      <c r="K35" s="78">
        <v>0</v>
      </c>
      <c r="L35" s="118">
        <f>'NOM REAL'!F117</f>
        <v>0</v>
      </c>
      <c r="M35" s="118">
        <f t="shared" si="66"/>
        <v>0</v>
      </c>
      <c r="N35" s="101">
        <f t="shared" si="67"/>
        <v>741.87</v>
      </c>
      <c r="O35" s="101">
        <f t="shared" si="68"/>
        <v>0</v>
      </c>
      <c r="P35" s="101">
        <f t="shared" si="69"/>
        <v>0</v>
      </c>
      <c r="Q35" s="101">
        <f t="shared" si="70"/>
        <v>0</v>
      </c>
      <c r="R35" s="101">
        <f t="shared" si="71"/>
        <v>0</v>
      </c>
      <c r="S35" s="101">
        <f t="shared" si="72"/>
        <v>0</v>
      </c>
      <c r="T35" s="101">
        <f t="shared" si="73"/>
        <v>0</v>
      </c>
      <c r="U35" s="101">
        <f t="shared" si="74"/>
        <v>741.87</v>
      </c>
      <c r="V35" s="119"/>
      <c r="W35" s="101">
        <f t="shared" si="75"/>
        <v>0</v>
      </c>
      <c r="X35" s="101" t="e">
        <f>+ROUND(H35*M35*(VLOOKUP(M35,TABLAS!$B$29:$D$35,3,1)+1.125%),2)</f>
        <v>#N/A</v>
      </c>
      <c r="Y35" s="101">
        <f t="shared" si="76"/>
        <v>0</v>
      </c>
      <c r="Z35" s="101" t="e">
        <f t="shared" si="77"/>
        <v>#N/A</v>
      </c>
      <c r="AA35" s="100"/>
      <c r="AB35" s="101">
        <f t="shared" si="78"/>
        <v>741.87</v>
      </c>
      <c r="AC35" s="101" t="e">
        <f t="shared" si="79"/>
        <v>#N/A</v>
      </c>
      <c r="AD35" s="101">
        <f t="shared" si="80"/>
        <v>0</v>
      </c>
      <c r="AE35" s="101" t="e">
        <f t="shared" si="81"/>
        <v>#N/A</v>
      </c>
      <c r="AF35" s="119"/>
      <c r="AG35" s="101" t="e">
        <f t="shared" si="82"/>
        <v>#N/A</v>
      </c>
      <c r="AH35" s="101" t="e">
        <f t="shared" si="83"/>
        <v>#N/A</v>
      </c>
      <c r="AI35" s="101" t="e">
        <f t="shared" si="84"/>
        <v>#N/A</v>
      </c>
      <c r="AJ35" s="101" t="e">
        <f t="shared" si="85"/>
        <v>#N/A</v>
      </c>
      <c r="AK35" s="101" t="e">
        <f t="shared" si="86"/>
        <v>#N/A</v>
      </c>
      <c r="AL35" s="120" t="e">
        <f>AM35*'NOM REAL'!E117</f>
        <v>#N/A</v>
      </c>
      <c r="AM35" s="101" t="e">
        <f t="shared" si="87"/>
        <v>#N/A</v>
      </c>
    </row>
    <row r="36" spans="1:39" s="40" customFormat="1" ht="12.5" x14ac:dyDescent="0.25">
      <c r="A36" s="24">
        <f t="shared" si="41"/>
        <v>30</v>
      </c>
      <c r="B36" s="24"/>
      <c r="C36" s="24"/>
      <c r="D36" s="24"/>
      <c r="E36" s="24"/>
      <c r="F36" s="115">
        <f>'NOM REAL'!B118</f>
        <v>0</v>
      </c>
      <c r="G36" s="78" t="str">
        <f>NOMINA!C36</f>
        <v>Emp 030</v>
      </c>
      <c r="H36" s="117">
        <f t="shared" si="65"/>
        <v>31</v>
      </c>
      <c r="I36" s="78">
        <v>31</v>
      </c>
      <c r="J36" s="78">
        <v>0</v>
      </c>
      <c r="K36" s="78">
        <v>0</v>
      </c>
      <c r="L36" s="118">
        <f>'NOM REAL'!F118</f>
        <v>0</v>
      </c>
      <c r="M36" s="118">
        <f t="shared" si="66"/>
        <v>0</v>
      </c>
      <c r="N36" s="101">
        <f t="shared" si="67"/>
        <v>741.87</v>
      </c>
      <c r="O36" s="101">
        <f t="shared" si="68"/>
        <v>0</v>
      </c>
      <c r="P36" s="101">
        <f t="shared" si="69"/>
        <v>0</v>
      </c>
      <c r="Q36" s="101">
        <f t="shared" si="70"/>
        <v>0</v>
      </c>
      <c r="R36" s="101">
        <f t="shared" si="71"/>
        <v>0</v>
      </c>
      <c r="S36" s="101">
        <f t="shared" si="72"/>
        <v>0</v>
      </c>
      <c r="T36" s="101">
        <f t="shared" si="73"/>
        <v>0</v>
      </c>
      <c r="U36" s="101">
        <f t="shared" si="74"/>
        <v>741.87</v>
      </c>
      <c r="V36" s="119"/>
      <c r="W36" s="101">
        <f t="shared" si="75"/>
        <v>0</v>
      </c>
      <c r="X36" s="101" t="e">
        <f>+ROUND(H36*M36*(VLOOKUP(M36,TABLAS!$B$29:$D$35,3,1)+1.125%),2)</f>
        <v>#N/A</v>
      </c>
      <c r="Y36" s="101">
        <f t="shared" si="76"/>
        <v>0</v>
      </c>
      <c r="Z36" s="101" t="e">
        <f t="shared" si="77"/>
        <v>#N/A</v>
      </c>
      <c r="AA36" s="100"/>
      <c r="AB36" s="101">
        <f t="shared" si="78"/>
        <v>741.87</v>
      </c>
      <c r="AC36" s="101" t="e">
        <f t="shared" si="79"/>
        <v>#N/A</v>
      </c>
      <c r="AD36" s="101">
        <f t="shared" si="80"/>
        <v>0</v>
      </c>
      <c r="AE36" s="101" t="e">
        <f t="shared" si="81"/>
        <v>#N/A</v>
      </c>
      <c r="AF36" s="119"/>
      <c r="AG36" s="101" t="e">
        <f t="shared" si="82"/>
        <v>#N/A</v>
      </c>
      <c r="AH36" s="101" t="e">
        <f t="shared" si="83"/>
        <v>#N/A</v>
      </c>
      <c r="AI36" s="101" t="e">
        <f t="shared" si="84"/>
        <v>#N/A</v>
      </c>
      <c r="AJ36" s="101" t="e">
        <f t="shared" si="85"/>
        <v>#N/A</v>
      </c>
      <c r="AK36" s="101" t="e">
        <f t="shared" si="86"/>
        <v>#N/A</v>
      </c>
      <c r="AL36" s="120" t="e">
        <f>AM36*'NOM REAL'!E118</f>
        <v>#N/A</v>
      </c>
      <c r="AM36" s="101" t="e">
        <f t="shared" si="87"/>
        <v>#N/A</v>
      </c>
    </row>
    <row r="37" spans="1:39" s="40" customFormat="1" ht="12.5" x14ac:dyDescent="0.25">
      <c r="A37" s="24">
        <f t="shared" si="41"/>
        <v>31</v>
      </c>
      <c r="B37" s="24"/>
      <c r="C37" s="24"/>
      <c r="D37" s="24"/>
      <c r="E37" s="24"/>
      <c r="F37" s="115">
        <f>'NOM REAL'!B119</f>
        <v>0</v>
      </c>
      <c r="G37" s="78" t="str">
        <f>NOMINA!C37</f>
        <v>Emp 031</v>
      </c>
      <c r="H37" s="117">
        <f t="shared" si="65"/>
        <v>31</v>
      </c>
      <c r="I37" s="78">
        <v>31</v>
      </c>
      <c r="J37" s="78">
        <v>0</v>
      </c>
      <c r="K37" s="78">
        <v>0</v>
      </c>
      <c r="L37" s="118">
        <f>'NOM REAL'!F119</f>
        <v>0</v>
      </c>
      <c r="M37" s="118">
        <f t="shared" si="66"/>
        <v>0</v>
      </c>
      <c r="N37" s="101">
        <f t="shared" si="67"/>
        <v>741.87</v>
      </c>
      <c r="O37" s="101">
        <f t="shared" si="68"/>
        <v>0</v>
      </c>
      <c r="P37" s="101">
        <f t="shared" si="69"/>
        <v>0</v>
      </c>
      <c r="Q37" s="101">
        <f t="shared" si="70"/>
        <v>0</v>
      </c>
      <c r="R37" s="101">
        <f t="shared" si="71"/>
        <v>0</v>
      </c>
      <c r="S37" s="101">
        <f t="shared" si="72"/>
        <v>0</v>
      </c>
      <c r="T37" s="101">
        <f t="shared" si="73"/>
        <v>0</v>
      </c>
      <c r="U37" s="101">
        <f t="shared" si="74"/>
        <v>741.87</v>
      </c>
      <c r="V37" s="119"/>
      <c r="W37" s="101">
        <f t="shared" si="75"/>
        <v>0</v>
      </c>
      <c r="X37" s="101" t="e">
        <f>+ROUND(H37*M37*(VLOOKUP(M37,TABLAS!$B$29:$D$35,3,1)+1.125%),2)</f>
        <v>#N/A</v>
      </c>
      <c r="Y37" s="101">
        <f t="shared" si="76"/>
        <v>0</v>
      </c>
      <c r="Z37" s="101" t="e">
        <f t="shared" si="77"/>
        <v>#N/A</v>
      </c>
      <c r="AA37" s="100"/>
      <c r="AB37" s="101">
        <f t="shared" si="78"/>
        <v>741.87</v>
      </c>
      <c r="AC37" s="101" t="e">
        <f t="shared" si="79"/>
        <v>#N/A</v>
      </c>
      <c r="AD37" s="101">
        <f t="shared" si="80"/>
        <v>0</v>
      </c>
      <c r="AE37" s="101" t="e">
        <f t="shared" si="81"/>
        <v>#N/A</v>
      </c>
      <c r="AF37" s="119"/>
      <c r="AG37" s="101" t="e">
        <f t="shared" si="82"/>
        <v>#N/A</v>
      </c>
      <c r="AH37" s="101" t="e">
        <f t="shared" si="83"/>
        <v>#N/A</v>
      </c>
      <c r="AI37" s="101" t="e">
        <f t="shared" si="84"/>
        <v>#N/A</v>
      </c>
      <c r="AJ37" s="101" t="e">
        <f t="shared" si="85"/>
        <v>#N/A</v>
      </c>
      <c r="AK37" s="101" t="e">
        <f t="shared" si="86"/>
        <v>#N/A</v>
      </c>
      <c r="AL37" s="120" t="e">
        <f>AM37*'NOM REAL'!E119</f>
        <v>#N/A</v>
      </c>
      <c r="AM37" s="101" t="e">
        <f t="shared" si="87"/>
        <v>#N/A</v>
      </c>
    </row>
    <row r="38" spans="1:39" s="40" customFormat="1" ht="12.5" x14ac:dyDescent="0.25">
      <c r="A38" s="24">
        <f t="shared" si="41"/>
        <v>32</v>
      </c>
      <c r="B38" s="24"/>
      <c r="C38" s="24"/>
      <c r="D38" s="24"/>
      <c r="E38" s="24"/>
      <c r="F38" s="115">
        <f>'NOM REAL'!B120</f>
        <v>0</v>
      </c>
      <c r="G38" s="78" t="str">
        <f>NOMINA!C38</f>
        <v>Emp 032</v>
      </c>
      <c r="H38" s="117">
        <f t="shared" si="65"/>
        <v>31</v>
      </c>
      <c r="I38" s="78">
        <v>31</v>
      </c>
      <c r="J38" s="78">
        <v>0</v>
      </c>
      <c r="K38" s="78">
        <v>0</v>
      </c>
      <c r="L38" s="118">
        <f>'NOM REAL'!F120</f>
        <v>0</v>
      </c>
      <c r="M38" s="118">
        <f t="shared" si="66"/>
        <v>0</v>
      </c>
      <c r="N38" s="101">
        <f t="shared" si="67"/>
        <v>741.87</v>
      </c>
      <c r="O38" s="101">
        <f t="shared" si="68"/>
        <v>0</v>
      </c>
      <c r="P38" s="101">
        <f t="shared" si="69"/>
        <v>0</v>
      </c>
      <c r="Q38" s="101">
        <f t="shared" si="70"/>
        <v>0</v>
      </c>
      <c r="R38" s="101">
        <f t="shared" si="71"/>
        <v>0</v>
      </c>
      <c r="S38" s="101">
        <f t="shared" si="72"/>
        <v>0</v>
      </c>
      <c r="T38" s="101">
        <f t="shared" si="73"/>
        <v>0</v>
      </c>
      <c r="U38" s="101">
        <f t="shared" si="74"/>
        <v>741.87</v>
      </c>
      <c r="V38" s="119"/>
      <c r="W38" s="101">
        <f t="shared" si="75"/>
        <v>0</v>
      </c>
      <c r="X38" s="101" t="e">
        <f>+ROUND(H38*M38*(VLOOKUP(M38,TABLAS!$B$29:$D$35,3,1)+1.125%),2)</f>
        <v>#N/A</v>
      </c>
      <c r="Y38" s="101">
        <f t="shared" si="76"/>
        <v>0</v>
      </c>
      <c r="Z38" s="101" t="e">
        <f t="shared" si="77"/>
        <v>#N/A</v>
      </c>
      <c r="AA38" s="100"/>
      <c r="AB38" s="101">
        <f t="shared" si="78"/>
        <v>741.87</v>
      </c>
      <c r="AC38" s="101" t="e">
        <f t="shared" si="79"/>
        <v>#N/A</v>
      </c>
      <c r="AD38" s="101">
        <f t="shared" si="80"/>
        <v>0</v>
      </c>
      <c r="AE38" s="101" t="e">
        <f t="shared" si="81"/>
        <v>#N/A</v>
      </c>
      <c r="AF38" s="119"/>
      <c r="AG38" s="101" t="e">
        <f t="shared" si="82"/>
        <v>#N/A</v>
      </c>
      <c r="AH38" s="101" t="e">
        <f t="shared" si="83"/>
        <v>#N/A</v>
      </c>
      <c r="AI38" s="101" t="e">
        <f t="shared" si="84"/>
        <v>#N/A</v>
      </c>
      <c r="AJ38" s="101" t="e">
        <f t="shared" si="85"/>
        <v>#N/A</v>
      </c>
      <c r="AK38" s="101" t="e">
        <f t="shared" si="86"/>
        <v>#N/A</v>
      </c>
      <c r="AL38" s="120" t="e">
        <f>AM38*'NOM REAL'!E120</f>
        <v>#N/A</v>
      </c>
      <c r="AM38" s="101" t="e">
        <f t="shared" si="87"/>
        <v>#N/A</v>
      </c>
    </row>
    <row r="39" spans="1:39" s="40" customFormat="1" ht="12.5" x14ac:dyDescent="0.25">
      <c r="A39" s="24">
        <f t="shared" si="41"/>
        <v>33</v>
      </c>
      <c r="B39" s="24"/>
      <c r="C39" s="24"/>
      <c r="D39" s="24"/>
      <c r="E39" s="24"/>
      <c r="F39" s="115">
        <f>'NOM REAL'!B121</f>
        <v>0</v>
      </c>
      <c r="G39" s="78" t="str">
        <f>NOMINA!C39</f>
        <v>Emp 033</v>
      </c>
      <c r="H39" s="117">
        <f t="shared" si="65"/>
        <v>31</v>
      </c>
      <c r="I39" s="78">
        <v>31</v>
      </c>
      <c r="J39" s="78">
        <v>0</v>
      </c>
      <c r="K39" s="78">
        <v>0</v>
      </c>
      <c r="L39" s="118">
        <f>'NOM REAL'!F121</f>
        <v>0</v>
      </c>
      <c r="M39" s="118">
        <f t="shared" si="66"/>
        <v>0</v>
      </c>
      <c r="N39" s="101">
        <f t="shared" si="67"/>
        <v>741.87</v>
      </c>
      <c r="O39" s="101">
        <f t="shared" si="68"/>
        <v>0</v>
      </c>
      <c r="P39" s="101">
        <f t="shared" si="69"/>
        <v>0</v>
      </c>
      <c r="Q39" s="101">
        <f t="shared" si="70"/>
        <v>0</v>
      </c>
      <c r="R39" s="101">
        <f t="shared" si="71"/>
        <v>0</v>
      </c>
      <c r="S39" s="101">
        <f t="shared" si="72"/>
        <v>0</v>
      </c>
      <c r="T39" s="101">
        <f t="shared" si="73"/>
        <v>0</v>
      </c>
      <c r="U39" s="101">
        <f t="shared" si="74"/>
        <v>741.87</v>
      </c>
      <c r="V39" s="119"/>
      <c r="W39" s="101">
        <f t="shared" si="75"/>
        <v>0</v>
      </c>
      <c r="X39" s="101" t="e">
        <f>+ROUND(H39*M39*(VLOOKUP(M39,TABLAS!$B$29:$D$35,3,1)+1.125%),2)</f>
        <v>#N/A</v>
      </c>
      <c r="Y39" s="101">
        <f t="shared" si="76"/>
        <v>0</v>
      </c>
      <c r="Z39" s="101" t="e">
        <f t="shared" si="77"/>
        <v>#N/A</v>
      </c>
      <c r="AA39" s="100"/>
      <c r="AB39" s="101">
        <f t="shared" si="78"/>
        <v>741.87</v>
      </c>
      <c r="AC39" s="101" t="e">
        <f t="shared" si="79"/>
        <v>#N/A</v>
      </c>
      <c r="AD39" s="101">
        <f t="shared" si="80"/>
        <v>0</v>
      </c>
      <c r="AE39" s="101" t="e">
        <f t="shared" si="81"/>
        <v>#N/A</v>
      </c>
      <c r="AF39" s="119"/>
      <c r="AG39" s="101" t="e">
        <f t="shared" si="82"/>
        <v>#N/A</v>
      </c>
      <c r="AH39" s="101" t="e">
        <f t="shared" si="83"/>
        <v>#N/A</v>
      </c>
      <c r="AI39" s="101" t="e">
        <f t="shared" si="84"/>
        <v>#N/A</v>
      </c>
      <c r="AJ39" s="101" t="e">
        <f t="shared" si="85"/>
        <v>#N/A</v>
      </c>
      <c r="AK39" s="101" t="e">
        <f t="shared" si="86"/>
        <v>#N/A</v>
      </c>
      <c r="AL39" s="120" t="e">
        <f>AM39*'NOM REAL'!E121</f>
        <v>#N/A</v>
      </c>
      <c r="AM39" s="101" t="e">
        <f t="shared" si="87"/>
        <v>#N/A</v>
      </c>
    </row>
    <row r="40" spans="1:39" s="40" customFormat="1" ht="12.5" x14ac:dyDescent="0.25">
      <c r="A40" s="24">
        <f t="shared" si="41"/>
        <v>34</v>
      </c>
      <c r="B40" s="24"/>
      <c r="C40" s="24"/>
      <c r="D40" s="24"/>
      <c r="E40" s="24"/>
      <c r="F40" s="115">
        <f>'NOM REAL'!B122</f>
        <v>0</v>
      </c>
      <c r="G40" s="78" t="str">
        <f>NOMINA!C40</f>
        <v>Emp 034</v>
      </c>
      <c r="H40" s="117">
        <f t="shared" si="65"/>
        <v>31</v>
      </c>
      <c r="I40" s="78">
        <v>31</v>
      </c>
      <c r="J40" s="78">
        <v>0</v>
      </c>
      <c r="K40" s="78">
        <v>0</v>
      </c>
      <c r="L40" s="118">
        <f>'NOM REAL'!F122</f>
        <v>0</v>
      </c>
      <c r="M40" s="118">
        <f t="shared" si="66"/>
        <v>0</v>
      </c>
      <c r="N40" s="101">
        <f t="shared" si="67"/>
        <v>741.87</v>
      </c>
      <c r="O40" s="101">
        <f t="shared" si="68"/>
        <v>0</v>
      </c>
      <c r="P40" s="101">
        <f t="shared" si="69"/>
        <v>0</v>
      </c>
      <c r="Q40" s="101">
        <f t="shared" si="70"/>
        <v>0</v>
      </c>
      <c r="R40" s="101">
        <f t="shared" si="71"/>
        <v>0</v>
      </c>
      <c r="S40" s="101">
        <f t="shared" si="72"/>
        <v>0</v>
      </c>
      <c r="T40" s="101">
        <f t="shared" si="73"/>
        <v>0</v>
      </c>
      <c r="U40" s="101">
        <f t="shared" si="74"/>
        <v>741.87</v>
      </c>
      <c r="V40" s="119"/>
      <c r="W40" s="101">
        <f t="shared" si="75"/>
        <v>0</v>
      </c>
      <c r="X40" s="101" t="e">
        <f>+ROUND(H40*M40*(VLOOKUP(M40,TABLAS!$B$29:$D$35,3,1)+1.125%),2)</f>
        <v>#N/A</v>
      </c>
      <c r="Y40" s="101">
        <f t="shared" si="76"/>
        <v>0</v>
      </c>
      <c r="Z40" s="101" t="e">
        <f t="shared" si="77"/>
        <v>#N/A</v>
      </c>
      <c r="AA40" s="100"/>
      <c r="AB40" s="101">
        <f t="shared" si="78"/>
        <v>741.87</v>
      </c>
      <c r="AC40" s="101" t="e">
        <f t="shared" si="79"/>
        <v>#N/A</v>
      </c>
      <c r="AD40" s="101">
        <f t="shared" si="80"/>
        <v>0</v>
      </c>
      <c r="AE40" s="101" t="e">
        <f t="shared" si="81"/>
        <v>#N/A</v>
      </c>
      <c r="AF40" s="119"/>
      <c r="AG40" s="101" t="e">
        <f t="shared" si="82"/>
        <v>#N/A</v>
      </c>
      <c r="AH40" s="101" t="e">
        <f t="shared" si="83"/>
        <v>#N/A</v>
      </c>
      <c r="AI40" s="101" t="e">
        <f t="shared" si="84"/>
        <v>#N/A</v>
      </c>
      <c r="AJ40" s="101" t="e">
        <f t="shared" si="85"/>
        <v>#N/A</v>
      </c>
      <c r="AK40" s="101" t="e">
        <f t="shared" si="86"/>
        <v>#N/A</v>
      </c>
      <c r="AL40" s="120" t="e">
        <f>AM40*'NOM REAL'!E122</f>
        <v>#N/A</v>
      </c>
      <c r="AM40" s="101" t="e">
        <f t="shared" si="87"/>
        <v>#N/A</v>
      </c>
    </row>
    <row r="41" spans="1:39" s="40" customFormat="1" ht="12.5" x14ac:dyDescent="0.25">
      <c r="A41" s="24">
        <f t="shared" si="41"/>
        <v>35</v>
      </c>
      <c r="B41" s="24"/>
      <c r="C41" s="24"/>
      <c r="D41" s="24"/>
      <c r="E41" s="24"/>
      <c r="F41" s="115">
        <f>'NOM REAL'!B123</f>
        <v>0</v>
      </c>
      <c r="G41" s="78" t="str">
        <f>NOMINA!C41</f>
        <v>Emp 035</v>
      </c>
      <c r="H41" s="117">
        <f t="shared" si="65"/>
        <v>31</v>
      </c>
      <c r="I41" s="78">
        <v>31</v>
      </c>
      <c r="J41" s="78">
        <v>0</v>
      </c>
      <c r="K41" s="78">
        <v>0</v>
      </c>
      <c r="L41" s="118">
        <f>'NOM REAL'!F123</f>
        <v>0</v>
      </c>
      <c r="M41" s="118">
        <f t="shared" si="66"/>
        <v>0</v>
      </c>
      <c r="N41" s="101">
        <f t="shared" si="67"/>
        <v>741.87</v>
      </c>
      <c r="O41" s="101">
        <f t="shared" si="68"/>
        <v>0</v>
      </c>
      <c r="P41" s="101">
        <f t="shared" si="69"/>
        <v>0</v>
      </c>
      <c r="Q41" s="101">
        <f t="shared" si="70"/>
        <v>0</v>
      </c>
      <c r="R41" s="101">
        <f t="shared" si="71"/>
        <v>0</v>
      </c>
      <c r="S41" s="101">
        <f t="shared" si="72"/>
        <v>0</v>
      </c>
      <c r="T41" s="101">
        <f t="shared" si="73"/>
        <v>0</v>
      </c>
      <c r="U41" s="101">
        <f t="shared" si="74"/>
        <v>741.87</v>
      </c>
      <c r="V41" s="119"/>
      <c r="W41" s="101">
        <f t="shared" si="75"/>
        <v>0</v>
      </c>
      <c r="X41" s="101" t="e">
        <f>+ROUND(H41*M41*(VLOOKUP(M41,TABLAS!$B$29:$D$35,3,1)+1.125%),2)</f>
        <v>#N/A</v>
      </c>
      <c r="Y41" s="101">
        <f t="shared" si="76"/>
        <v>0</v>
      </c>
      <c r="Z41" s="101" t="e">
        <f t="shared" si="77"/>
        <v>#N/A</v>
      </c>
      <c r="AA41" s="100"/>
      <c r="AB41" s="101">
        <f t="shared" si="78"/>
        <v>741.87</v>
      </c>
      <c r="AC41" s="101" t="e">
        <f t="shared" si="79"/>
        <v>#N/A</v>
      </c>
      <c r="AD41" s="101">
        <f t="shared" si="80"/>
        <v>0</v>
      </c>
      <c r="AE41" s="101" t="e">
        <f t="shared" si="81"/>
        <v>#N/A</v>
      </c>
      <c r="AF41" s="119"/>
      <c r="AG41" s="101" t="e">
        <f t="shared" si="82"/>
        <v>#N/A</v>
      </c>
      <c r="AH41" s="101" t="e">
        <f t="shared" si="83"/>
        <v>#N/A</v>
      </c>
      <c r="AI41" s="101" t="e">
        <f t="shared" si="84"/>
        <v>#N/A</v>
      </c>
      <c r="AJ41" s="101" t="e">
        <f t="shared" si="85"/>
        <v>#N/A</v>
      </c>
      <c r="AK41" s="101" t="e">
        <f t="shared" si="86"/>
        <v>#N/A</v>
      </c>
      <c r="AL41" s="120" t="e">
        <f>AM41*'NOM REAL'!E123</f>
        <v>#N/A</v>
      </c>
      <c r="AM41" s="101" t="e">
        <f t="shared" si="87"/>
        <v>#N/A</v>
      </c>
    </row>
    <row r="42" spans="1:39" s="40" customFormat="1" ht="12.5" x14ac:dyDescent="0.25">
      <c r="A42" s="24">
        <f t="shared" si="41"/>
        <v>36</v>
      </c>
      <c r="B42" s="24"/>
      <c r="C42" s="24"/>
      <c r="D42" s="24"/>
      <c r="E42" s="24"/>
      <c r="F42" s="115">
        <f>'NOM REAL'!B124</f>
        <v>0</v>
      </c>
      <c r="G42" s="78" t="str">
        <f>NOMINA!C42</f>
        <v>Emp 036</v>
      </c>
      <c r="H42" s="117">
        <f t="shared" si="65"/>
        <v>31</v>
      </c>
      <c r="I42" s="78">
        <v>31</v>
      </c>
      <c r="J42" s="78">
        <v>0</v>
      </c>
      <c r="K42" s="78">
        <v>0</v>
      </c>
      <c r="L42" s="118">
        <f>'NOM REAL'!F124</f>
        <v>0</v>
      </c>
      <c r="M42" s="118">
        <f t="shared" si="66"/>
        <v>0</v>
      </c>
      <c r="N42" s="101">
        <f t="shared" si="67"/>
        <v>741.87</v>
      </c>
      <c r="O42" s="101">
        <f t="shared" si="68"/>
        <v>0</v>
      </c>
      <c r="P42" s="101">
        <f t="shared" si="69"/>
        <v>0</v>
      </c>
      <c r="Q42" s="101">
        <f t="shared" si="70"/>
        <v>0</v>
      </c>
      <c r="R42" s="101">
        <f t="shared" si="71"/>
        <v>0</v>
      </c>
      <c r="S42" s="101">
        <f t="shared" si="72"/>
        <v>0</v>
      </c>
      <c r="T42" s="101">
        <f t="shared" si="73"/>
        <v>0</v>
      </c>
      <c r="U42" s="101">
        <f t="shared" si="74"/>
        <v>741.87</v>
      </c>
      <c r="V42" s="119"/>
      <c r="W42" s="101">
        <f t="shared" si="75"/>
        <v>0</v>
      </c>
      <c r="X42" s="101" t="e">
        <f>+ROUND(H42*M42*(VLOOKUP(M42,TABLAS!$B$29:$D$35,3,1)+1.125%),2)</f>
        <v>#N/A</v>
      </c>
      <c r="Y42" s="101">
        <f t="shared" si="76"/>
        <v>0</v>
      </c>
      <c r="Z42" s="101" t="e">
        <f t="shared" si="77"/>
        <v>#N/A</v>
      </c>
      <c r="AA42" s="100"/>
      <c r="AB42" s="101">
        <f t="shared" si="78"/>
        <v>741.87</v>
      </c>
      <c r="AC42" s="101" t="e">
        <f t="shared" si="79"/>
        <v>#N/A</v>
      </c>
      <c r="AD42" s="101">
        <f t="shared" si="80"/>
        <v>0</v>
      </c>
      <c r="AE42" s="101" t="e">
        <f t="shared" si="81"/>
        <v>#N/A</v>
      </c>
      <c r="AF42" s="119"/>
      <c r="AG42" s="101" t="e">
        <f t="shared" si="82"/>
        <v>#N/A</v>
      </c>
      <c r="AH42" s="101" t="e">
        <f t="shared" si="83"/>
        <v>#N/A</v>
      </c>
      <c r="AI42" s="101" t="e">
        <f t="shared" si="84"/>
        <v>#N/A</v>
      </c>
      <c r="AJ42" s="101" t="e">
        <f t="shared" si="85"/>
        <v>#N/A</v>
      </c>
      <c r="AK42" s="101" t="e">
        <f t="shared" si="86"/>
        <v>#N/A</v>
      </c>
      <c r="AL42" s="120" t="e">
        <f>AM42*'NOM REAL'!E124</f>
        <v>#N/A</v>
      </c>
      <c r="AM42" s="101" t="e">
        <f t="shared" si="87"/>
        <v>#N/A</v>
      </c>
    </row>
    <row r="43" spans="1:39" s="40" customFormat="1" ht="12.5" x14ac:dyDescent="0.25">
      <c r="A43" s="24">
        <f t="shared" si="41"/>
        <v>37</v>
      </c>
      <c r="B43" s="24"/>
      <c r="C43" s="24"/>
      <c r="D43" s="24"/>
      <c r="E43" s="24"/>
      <c r="F43" s="115">
        <f>'NOM REAL'!B125</f>
        <v>0</v>
      </c>
      <c r="G43" s="78" t="str">
        <f>NOMINA!C43</f>
        <v>Emp 037</v>
      </c>
      <c r="H43" s="117">
        <f t="shared" si="65"/>
        <v>31</v>
      </c>
      <c r="I43" s="78">
        <v>31</v>
      </c>
      <c r="J43" s="78">
        <v>0</v>
      </c>
      <c r="K43" s="78">
        <v>0</v>
      </c>
      <c r="L43" s="118">
        <f>'NOM REAL'!F125</f>
        <v>0</v>
      </c>
      <c r="M43" s="118">
        <f t="shared" si="66"/>
        <v>0</v>
      </c>
      <c r="N43" s="101">
        <f t="shared" si="67"/>
        <v>741.87</v>
      </c>
      <c r="O43" s="101">
        <f t="shared" si="68"/>
        <v>0</v>
      </c>
      <c r="P43" s="101">
        <f t="shared" si="69"/>
        <v>0</v>
      </c>
      <c r="Q43" s="101">
        <f t="shared" si="70"/>
        <v>0</v>
      </c>
      <c r="R43" s="101">
        <f t="shared" si="71"/>
        <v>0</v>
      </c>
      <c r="S43" s="101">
        <f t="shared" si="72"/>
        <v>0</v>
      </c>
      <c r="T43" s="101">
        <f t="shared" si="73"/>
        <v>0</v>
      </c>
      <c r="U43" s="101">
        <f t="shared" si="74"/>
        <v>741.87</v>
      </c>
      <c r="V43" s="119"/>
      <c r="W43" s="101">
        <f t="shared" si="75"/>
        <v>0</v>
      </c>
      <c r="X43" s="101" t="e">
        <f>+ROUND(H43*M43*(VLOOKUP(M43,TABLAS!$B$29:$D$35,3,1)+1.125%),2)</f>
        <v>#N/A</v>
      </c>
      <c r="Y43" s="101">
        <f t="shared" si="76"/>
        <v>0</v>
      </c>
      <c r="Z43" s="101" t="e">
        <f t="shared" si="77"/>
        <v>#N/A</v>
      </c>
      <c r="AA43" s="100"/>
      <c r="AB43" s="101">
        <f t="shared" si="78"/>
        <v>741.87</v>
      </c>
      <c r="AC43" s="101" t="e">
        <f t="shared" si="79"/>
        <v>#N/A</v>
      </c>
      <c r="AD43" s="101">
        <f t="shared" si="80"/>
        <v>0</v>
      </c>
      <c r="AE43" s="101" t="e">
        <f t="shared" si="81"/>
        <v>#N/A</v>
      </c>
      <c r="AF43" s="119"/>
      <c r="AG43" s="101" t="e">
        <f t="shared" si="82"/>
        <v>#N/A</v>
      </c>
      <c r="AH43" s="101" t="e">
        <f t="shared" si="83"/>
        <v>#N/A</v>
      </c>
      <c r="AI43" s="101" t="e">
        <f t="shared" si="84"/>
        <v>#N/A</v>
      </c>
      <c r="AJ43" s="101" t="e">
        <f t="shared" si="85"/>
        <v>#N/A</v>
      </c>
      <c r="AK43" s="101" t="e">
        <f t="shared" si="86"/>
        <v>#N/A</v>
      </c>
      <c r="AL43" s="120" t="e">
        <f>AM43*'NOM REAL'!E125</f>
        <v>#N/A</v>
      </c>
      <c r="AM43" s="101" t="e">
        <f t="shared" si="87"/>
        <v>#N/A</v>
      </c>
    </row>
    <row r="44" spans="1:39" s="40" customFormat="1" ht="12.5" x14ac:dyDescent="0.25">
      <c r="A44" s="24">
        <f t="shared" si="41"/>
        <v>38</v>
      </c>
      <c r="B44" s="24"/>
      <c r="C44" s="24"/>
      <c r="D44" s="24"/>
      <c r="E44" s="24"/>
      <c r="F44" s="115">
        <f>'NOM REAL'!B126</f>
        <v>0</v>
      </c>
      <c r="G44" s="78" t="str">
        <f>NOMINA!C44</f>
        <v>Emp 038</v>
      </c>
      <c r="H44" s="117">
        <f t="shared" si="65"/>
        <v>31</v>
      </c>
      <c r="I44" s="78">
        <v>31</v>
      </c>
      <c r="J44" s="78">
        <v>0</v>
      </c>
      <c r="K44" s="78">
        <v>0</v>
      </c>
      <c r="L44" s="118">
        <f>'NOM REAL'!F126</f>
        <v>0</v>
      </c>
      <c r="M44" s="118">
        <f t="shared" si="66"/>
        <v>0</v>
      </c>
      <c r="N44" s="101">
        <f t="shared" si="67"/>
        <v>741.87</v>
      </c>
      <c r="O44" s="101">
        <f t="shared" si="68"/>
        <v>0</v>
      </c>
      <c r="P44" s="101">
        <f t="shared" si="69"/>
        <v>0</v>
      </c>
      <c r="Q44" s="101">
        <f t="shared" si="70"/>
        <v>0</v>
      </c>
      <c r="R44" s="101">
        <f t="shared" si="71"/>
        <v>0</v>
      </c>
      <c r="S44" s="101">
        <f t="shared" si="72"/>
        <v>0</v>
      </c>
      <c r="T44" s="101">
        <f t="shared" si="73"/>
        <v>0</v>
      </c>
      <c r="U44" s="101">
        <f t="shared" si="74"/>
        <v>741.87</v>
      </c>
      <c r="V44" s="119"/>
      <c r="W44" s="101">
        <f t="shared" si="75"/>
        <v>0</v>
      </c>
      <c r="X44" s="101" t="e">
        <f>+ROUND(H44*M44*(VLOOKUP(M44,TABLAS!$B$29:$D$35,3,1)+1.125%),2)</f>
        <v>#N/A</v>
      </c>
      <c r="Y44" s="101">
        <f t="shared" si="76"/>
        <v>0</v>
      </c>
      <c r="Z44" s="101" t="e">
        <f t="shared" si="77"/>
        <v>#N/A</v>
      </c>
      <c r="AA44" s="100"/>
      <c r="AB44" s="101">
        <f t="shared" si="78"/>
        <v>741.87</v>
      </c>
      <c r="AC44" s="101" t="e">
        <f t="shared" si="79"/>
        <v>#N/A</v>
      </c>
      <c r="AD44" s="101">
        <f t="shared" si="80"/>
        <v>0</v>
      </c>
      <c r="AE44" s="101" t="e">
        <f t="shared" si="81"/>
        <v>#N/A</v>
      </c>
      <c r="AF44" s="119"/>
      <c r="AG44" s="101" t="e">
        <f t="shared" si="82"/>
        <v>#N/A</v>
      </c>
      <c r="AH44" s="101" t="e">
        <f t="shared" si="83"/>
        <v>#N/A</v>
      </c>
      <c r="AI44" s="101" t="e">
        <f t="shared" si="84"/>
        <v>#N/A</v>
      </c>
      <c r="AJ44" s="101" t="e">
        <f t="shared" si="85"/>
        <v>#N/A</v>
      </c>
      <c r="AK44" s="101" t="e">
        <f t="shared" si="86"/>
        <v>#N/A</v>
      </c>
      <c r="AL44" s="120" t="e">
        <f>AM44*'NOM REAL'!E126</f>
        <v>#N/A</v>
      </c>
      <c r="AM44" s="101" t="e">
        <f t="shared" si="87"/>
        <v>#N/A</v>
      </c>
    </row>
    <row r="45" spans="1:39" s="40" customFormat="1" ht="12.5" x14ac:dyDescent="0.25">
      <c r="A45" s="24">
        <f t="shared" si="41"/>
        <v>39</v>
      </c>
      <c r="B45" s="24"/>
      <c r="C45" s="24"/>
      <c r="D45" s="24"/>
      <c r="E45" s="24"/>
      <c r="F45" s="115">
        <f>'NOM REAL'!B127</f>
        <v>0</v>
      </c>
      <c r="G45" s="78" t="str">
        <f>NOMINA!C45</f>
        <v>Emp 039</v>
      </c>
      <c r="H45" s="117">
        <f t="shared" si="65"/>
        <v>31</v>
      </c>
      <c r="I45" s="78">
        <v>31</v>
      </c>
      <c r="J45" s="78">
        <v>0</v>
      </c>
      <c r="K45" s="78">
        <v>0</v>
      </c>
      <c r="L45" s="118">
        <f>'NOM REAL'!F127</f>
        <v>0</v>
      </c>
      <c r="M45" s="118">
        <f t="shared" si="66"/>
        <v>0</v>
      </c>
      <c r="N45" s="101">
        <f t="shared" si="67"/>
        <v>741.87</v>
      </c>
      <c r="O45" s="101">
        <f t="shared" si="68"/>
        <v>0</v>
      </c>
      <c r="P45" s="101">
        <f t="shared" si="69"/>
        <v>0</v>
      </c>
      <c r="Q45" s="101">
        <f t="shared" si="70"/>
        <v>0</v>
      </c>
      <c r="R45" s="101">
        <f t="shared" si="71"/>
        <v>0</v>
      </c>
      <c r="S45" s="101">
        <f t="shared" si="72"/>
        <v>0</v>
      </c>
      <c r="T45" s="101">
        <f t="shared" si="73"/>
        <v>0</v>
      </c>
      <c r="U45" s="101">
        <f t="shared" si="74"/>
        <v>741.87</v>
      </c>
      <c r="V45" s="119"/>
      <c r="W45" s="101">
        <f t="shared" si="75"/>
        <v>0</v>
      </c>
      <c r="X45" s="101" t="e">
        <f>+ROUND(H45*M45*(VLOOKUP(M45,TABLAS!$B$29:$D$35,3,1)+1.125%),2)</f>
        <v>#N/A</v>
      </c>
      <c r="Y45" s="101">
        <f t="shared" si="76"/>
        <v>0</v>
      </c>
      <c r="Z45" s="101" t="e">
        <f t="shared" si="77"/>
        <v>#N/A</v>
      </c>
      <c r="AA45" s="100"/>
      <c r="AB45" s="101">
        <f t="shared" si="78"/>
        <v>741.87</v>
      </c>
      <c r="AC45" s="101" t="e">
        <f t="shared" si="79"/>
        <v>#N/A</v>
      </c>
      <c r="AD45" s="101">
        <f t="shared" si="80"/>
        <v>0</v>
      </c>
      <c r="AE45" s="101" t="e">
        <f t="shared" si="81"/>
        <v>#N/A</v>
      </c>
      <c r="AF45" s="119"/>
      <c r="AG45" s="101" t="e">
        <f t="shared" si="82"/>
        <v>#N/A</v>
      </c>
      <c r="AH45" s="101" t="e">
        <f t="shared" si="83"/>
        <v>#N/A</v>
      </c>
      <c r="AI45" s="101" t="e">
        <f t="shared" si="84"/>
        <v>#N/A</v>
      </c>
      <c r="AJ45" s="101" t="e">
        <f t="shared" si="85"/>
        <v>#N/A</v>
      </c>
      <c r="AK45" s="101" t="e">
        <f t="shared" si="86"/>
        <v>#N/A</v>
      </c>
      <c r="AL45" s="120" t="e">
        <f>AM45*'NOM REAL'!E127</f>
        <v>#N/A</v>
      </c>
      <c r="AM45" s="101" t="e">
        <f t="shared" si="87"/>
        <v>#N/A</v>
      </c>
    </row>
    <row r="46" spans="1:39" s="40" customFormat="1" ht="12.5" x14ac:dyDescent="0.25">
      <c r="A46" s="24">
        <f t="shared" si="41"/>
        <v>40</v>
      </c>
      <c r="B46" s="24"/>
      <c r="C46" s="24"/>
      <c r="D46" s="24"/>
      <c r="E46" s="24"/>
      <c r="F46" s="115">
        <f>'NOM REAL'!B128</f>
        <v>0</v>
      </c>
      <c r="G46" s="78" t="str">
        <f>NOMINA!C46</f>
        <v>Emp 040</v>
      </c>
      <c r="H46" s="117">
        <f t="shared" si="65"/>
        <v>31</v>
      </c>
      <c r="I46" s="78">
        <v>31</v>
      </c>
      <c r="J46" s="78">
        <v>0</v>
      </c>
      <c r="K46" s="78">
        <v>0</v>
      </c>
      <c r="L46" s="118">
        <f>'NOM REAL'!F128</f>
        <v>0</v>
      </c>
      <c r="M46" s="118">
        <f t="shared" si="66"/>
        <v>0</v>
      </c>
      <c r="N46" s="101">
        <f t="shared" si="67"/>
        <v>741.87</v>
      </c>
      <c r="O46" s="101">
        <f t="shared" si="68"/>
        <v>0</v>
      </c>
      <c r="P46" s="101">
        <f t="shared" si="69"/>
        <v>0</v>
      </c>
      <c r="Q46" s="101">
        <f t="shared" si="70"/>
        <v>0</v>
      </c>
      <c r="R46" s="101">
        <f t="shared" si="71"/>
        <v>0</v>
      </c>
      <c r="S46" s="101">
        <f t="shared" si="72"/>
        <v>0</v>
      </c>
      <c r="T46" s="101">
        <f t="shared" si="73"/>
        <v>0</v>
      </c>
      <c r="U46" s="101">
        <f t="shared" si="74"/>
        <v>741.87</v>
      </c>
      <c r="V46" s="119"/>
      <c r="W46" s="101">
        <f t="shared" si="75"/>
        <v>0</v>
      </c>
      <c r="X46" s="101" t="e">
        <f>+ROUND(H46*M46*(VLOOKUP(M46,TABLAS!$B$29:$D$35,3,1)+1.125%),2)</f>
        <v>#N/A</v>
      </c>
      <c r="Y46" s="101">
        <f t="shared" si="76"/>
        <v>0</v>
      </c>
      <c r="Z46" s="101" t="e">
        <f t="shared" si="77"/>
        <v>#N/A</v>
      </c>
      <c r="AA46" s="100"/>
      <c r="AB46" s="101">
        <f t="shared" si="78"/>
        <v>741.87</v>
      </c>
      <c r="AC46" s="101" t="e">
        <f t="shared" si="79"/>
        <v>#N/A</v>
      </c>
      <c r="AD46" s="101">
        <f t="shared" si="80"/>
        <v>0</v>
      </c>
      <c r="AE46" s="101" t="e">
        <f t="shared" si="81"/>
        <v>#N/A</v>
      </c>
      <c r="AF46" s="119"/>
      <c r="AG46" s="101" t="e">
        <f t="shared" si="82"/>
        <v>#N/A</v>
      </c>
      <c r="AH46" s="101" t="e">
        <f t="shared" si="83"/>
        <v>#N/A</v>
      </c>
      <c r="AI46" s="101" t="e">
        <f t="shared" si="84"/>
        <v>#N/A</v>
      </c>
      <c r="AJ46" s="101" t="e">
        <f t="shared" si="85"/>
        <v>#N/A</v>
      </c>
      <c r="AK46" s="101" t="e">
        <f t="shared" si="86"/>
        <v>#N/A</v>
      </c>
      <c r="AL46" s="120" t="e">
        <f>AM46*'NOM REAL'!E128</f>
        <v>#N/A</v>
      </c>
      <c r="AM46" s="101" t="e">
        <f t="shared" si="87"/>
        <v>#N/A</v>
      </c>
    </row>
    <row r="47" spans="1:39" s="40" customFormat="1" ht="12.5" x14ac:dyDescent="0.25">
      <c r="A47" s="24">
        <f t="shared" si="41"/>
        <v>41</v>
      </c>
      <c r="B47" s="24"/>
      <c r="C47" s="24"/>
      <c r="D47" s="24"/>
      <c r="E47" s="24"/>
      <c r="F47" s="115">
        <f>'NOM REAL'!B129</f>
        <v>0</v>
      </c>
      <c r="G47" s="78" t="str">
        <f>NOMINA!C47</f>
        <v>Emp 041</v>
      </c>
      <c r="H47" s="117">
        <f t="shared" si="65"/>
        <v>31</v>
      </c>
      <c r="I47" s="78">
        <v>31</v>
      </c>
      <c r="J47" s="78">
        <v>0</v>
      </c>
      <c r="K47" s="78">
        <v>0</v>
      </c>
      <c r="L47" s="118">
        <f>'NOM REAL'!F129</f>
        <v>0</v>
      </c>
      <c r="M47" s="118">
        <f t="shared" si="66"/>
        <v>0</v>
      </c>
      <c r="N47" s="101">
        <f t="shared" si="67"/>
        <v>741.87</v>
      </c>
      <c r="O47" s="101">
        <f t="shared" si="68"/>
        <v>0</v>
      </c>
      <c r="P47" s="101">
        <f t="shared" si="69"/>
        <v>0</v>
      </c>
      <c r="Q47" s="101">
        <f t="shared" si="70"/>
        <v>0</v>
      </c>
      <c r="R47" s="101">
        <f t="shared" si="71"/>
        <v>0</v>
      </c>
      <c r="S47" s="101">
        <f t="shared" si="72"/>
        <v>0</v>
      </c>
      <c r="T47" s="101">
        <f t="shared" si="73"/>
        <v>0</v>
      </c>
      <c r="U47" s="101">
        <f t="shared" si="74"/>
        <v>741.87</v>
      </c>
      <c r="V47" s="119"/>
      <c r="W47" s="101">
        <f t="shared" si="75"/>
        <v>0</v>
      </c>
      <c r="X47" s="101" t="e">
        <f>+ROUND(H47*M47*(VLOOKUP(M47,TABLAS!$B$29:$D$35,3,1)+1.125%),2)</f>
        <v>#N/A</v>
      </c>
      <c r="Y47" s="101">
        <f t="shared" si="76"/>
        <v>0</v>
      </c>
      <c r="Z47" s="101" t="e">
        <f t="shared" si="77"/>
        <v>#N/A</v>
      </c>
      <c r="AA47" s="100"/>
      <c r="AB47" s="101">
        <f t="shared" si="78"/>
        <v>741.87</v>
      </c>
      <c r="AC47" s="101" t="e">
        <f t="shared" si="79"/>
        <v>#N/A</v>
      </c>
      <c r="AD47" s="101">
        <f t="shared" si="80"/>
        <v>0</v>
      </c>
      <c r="AE47" s="101" t="e">
        <f t="shared" si="81"/>
        <v>#N/A</v>
      </c>
      <c r="AF47" s="119"/>
      <c r="AG47" s="101" t="e">
        <f t="shared" si="82"/>
        <v>#N/A</v>
      </c>
      <c r="AH47" s="101" t="e">
        <f t="shared" si="83"/>
        <v>#N/A</v>
      </c>
      <c r="AI47" s="101" t="e">
        <f t="shared" si="84"/>
        <v>#N/A</v>
      </c>
      <c r="AJ47" s="101" t="e">
        <f t="shared" si="85"/>
        <v>#N/A</v>
      </c>
      <c r="AK47" s="101" t="e">
        <f t="shared" si="86"/>
        <v>#N/A</v>
      </c>
      <c r="AL47" s="120" t="e">
        <f>AM47*'NOM REAL'!E129</f>
        <v>#N/A</v>
      </c>
      <c r="AM47" s="101" t="e">
        <f t="shared" si="87"/>
        <v>#N/A</v>
      </c>
    </row>
    <row r="48" spans="1:39" s="40" customFormat="1" ht="12.5" x14ac:dyDescent="0.25">
      <c r="A48" s="24">
        <f t="shared" si="41"/>
        <v>42</v>
      </c>
      <c r="B48" s="24"/>
      <c r="C48" s="24"/>
      <c r="D48" s="24"/>
      <c r="E48" s="24"/>
      <c r="F48" s="115">
        <f>'NOM REAL'!B130</f>
        <v>0</v>
      </c>
      <c r="G48" s="78" t="str">
        <f>NOMINA!C48</f>
        <v>Emp 042</v>
      </c>
      <c r="H48" s="117">
        <f t="shared" si="65"/>
        <v>31</v>
      </c>
      <c r="I48" s="78">
        <v>31</v>
      </c>
      <c r="J48" s="78">
        <v>0</v>
      </c>
      <c r="K48" s="78">
        <v>0</v>
      </c>
      <c r="L48" s="118">
        <f>'NOM REAL'!F130</f>
        <v>0</v>
      </c>
      <c r="M48" s="118">
        <f t="shared" si="66"/>
        <v>0</v>
      </c>
      <c r="N48" s="101">
        <f t="shared" si="67"/>
        <v>741.87</v>
      </c>
      <c r="O48" s="101">
        <f t="shared" si="68"/>
        <v>0</v>
      </c>
      <c r="P48" s="101">
        <f t="shared" si="69"/>
        <v>0</v>
      </c>
      <c r="Q48" s="101">
        <f t="shared" si="70"/>
        <v>0</v>
      </c>
      <c r="R48" s="101">
        <f t="shared" si="71"/>
        <v>0</v>
      </c>
      <c r="S48" s="101">
        <f t="shared" si="72"/>
        <v>0</v>
      </c>
      <c r="T48" s="101">
        <f t="shared" si="73"/>
        <v>0</v>
      </c>
      <c r="U48" s="101">
        <f t="shared" si="74"/>
        <v>741.87</v>
      </c>
      <c r="V48" s="119"/>
      <c r="W48" s="101">
        <f t="shared" si="75"/>
        <v>0</v>
      </c>
      <c r="X48" s="101" t="e">
        <f>+ROUND(H48*M48*(VLOOKUP(M48,TABLAS!$B$29:$D$35,3,1)+1.125%),2)</f>
        <v>#N/A</v>
      </c>
      <c r="Y48" s="101">
        <f t="shared" si="76"/>
        <v>0</v>
      </c>
      <c r="Z48" s="101" t="e">
        <f t="shared" si="77"/>
        <v>#N/A</v>
      </c>
      <c r="AA48" s="100"/>
      <c r="AB48" s="101">
        <f t="shared" si="78"/>
        <v>741.87</v>
      </c>
      <c r="AC48" s="101" t="e">
        <f t="shared" si="79"/>
        <v>#N/A</v>
      </c>
      <c r="AD48" s="101">
        <f t="shared" si="80"/>
        <v>0</v>
      </c>
      <c r="AE48" s="101" t="e">
        <f t="shared" si="81"/>
        <v>#N/A</v>
      </c>
      <c r="AF48" s="119"/>
      <c r="AG48" s="101" t="e">
        <f t="shared" si="82"/>
        <v>#N/A</v>
      </c>
      <c r="AH48" s="101" t="e">
        <f t="shared" si="83"/>
        <v>#N/A</v>
      </c>
      <c r="AI48" s="101" t="e">
        <f t="shared" si="84"/>
        <v>#N/A</v>
      </c>
      <c r="AJ48" s="101" t="e">
        <f t="shared" si="85"/>
        <v>#N/A</v>
      </c>
      <c r="AK48" s="101" t="e">
        <f t="shared" si="86"/>
        <v>#N/A</v>
      </c>
      <c r="AL48" s="120" t="e">
        <f>AM48*'NOM REAL'!E130</f>
        <v>#N/A</v>
      </c>
      <c r="AM48" s="101" t="e">
        <f t="shared" si="87"/>
        <v>#N/A</v>
      </c>
    </row>
    <row r="49" spans="1:39" s="40" customFormat="1" ht="12.5" x14ac:dyDescent="0.25">
      <c r="A49" s="24">
        <f t="shared" si="41"/>
        <v>43</v>
      </c>
      <c r="B49" s="24"/>
      <c r="C49" s="24"/>
      <c r="D49" s="24"/>
      <c r="E49" s="24"/>
      <c r="F49" s="115">
        <f>'NOM REAL'!B131</f>
        <v>0</v>
      </c>
      <c r="G49" s="78" t="str">
        <f>NOMINA!C49</f>
        <v>Emp 043</v>
      </c>
      <c r="H49" s="117">
        <f t="shared" si="65"/>
        <v>31</v>
      </c>
      <c r="I49" s="78">
        <v>31</v>
      </c>
      <c r="J49" s="78">
        <v>0</v>
      </c>
      <c r="K49" s="78">
        <v>0</v>
      </c>
      <c r="L49" s="118">
        <f>'NOM REAL'!F131</f>
        <v>0</v>
      </c>
      <c r="M49" s="118">
        <f t="shared" si="66"/>
        <v>0</v>
      </c>
      <c r="N49" s="101">
        <f t="shared" si="67"/>
        <v>741.87</v>
      </c>
      <c r="O49" s="101">
        <f t="shared" si="68"/>
        <v>0</v>
      </c>
      <c r="P49" s="101">
        <f t="shared" si="69"/>
        <v>0</v>
      </c>
      <c r="Q49" s="101">
        <f t="shared" si="70"/>
        <v>0</v>
      </c>
      <c r="R49" s="101">
        <f t="shared" si="71"/>
        <v>0</v>
      </c>
      <c r="S49" s="101">
        <f t="shared" si="72"/>
        <v>0</v>
      </c>
      <c r="T49" s="101">
        <f t="shared" si="73"/>
        <v>0</v>
      </c>
      <c r="U49" s="101">
        <f t="shared" si="74"/>
        <v>741.87</v>
      </c>
      <c r="V49" s="119"/>
      <c r="W49" s="101">
        <f t="shared" si="75"/>
        <v>0</v>
      </c>
      <c r="X49" s="101" t="e">
        <f>+ROUND(H49*M49*(VLOOKUP(M49,TABLAS!$B$29:$D$35,3,1)+1.125%),2)</f>
        <v>#N/A</v>
      </c>
      <c r="Y49" s="101">
        <f t="shared" si="76"/>
        <v>0</v>
      </c>
      <c r="Z49" s="101" t="e">
        <f t="shared" si="77"/>
        <v>#N/A</v>
      </c>
      <c r="AA49" s="100"/>
      <c r="AB49" s="101">
        <f t="shared" si="78"/>
        <v>741.87</v>
      </c>
      <c r="AC49" s="101" t="e">
        <f t="shared" si="79"/>
        <v>#N/A</v>
      </c>
      <c r="AD49" s="101">
        <f t="shared" si="80"/>
        <v>0</v>
      </c>
      <c r="AE49" s="101" t="e">
        <f t="shared" si="81"/>
        <v>#N/A</v>
      </c>
      <c r="AF49" s="119"/>
      <c r="AG49" s="101" t="e">
        <f t="shared" si="82"/>
        <v>#N/A</v>
      </c>
      <c r="AH49" s="101" t="e">
        <f t="shared" si="83"/>
        <v>#N/A</v>
      </c>
      <c r="AI49" s="101" t="e">
        <f t="shared" si="84"/>
        <v>#N/A</v>
      </c>
      <c r="AJ49" s="101" t="e">
        <f t="shared" si="85"/>
        <v>#N/A</v>
      </c>
      <c r="AK49" s="101" t="e">
        <f t="shared" si="86"/>
        <v>#N/A</v>
      </c>
      <c r="AL49" s="120" t="e">
        <f>AM49*'NOM REAL'!E131</f>
        <v>#N/A</v>
      </c>
      <c r="AM49" s="101" t="e">
        <f t="shared" si="87"/>
        <v>#N/A</v>
      </c>
    </row>
    <row r="50" spans="1:39" s="40" customFormat="1" ht="12.5" x14ac:dyDescent="0.25">
      <c r="A50" s="24">
        <f t="shared" si="41"/>
        <v>44</v>
      </c>
      <c r="B50" s="24"/>
      <c r="C50" s="24"/>
      <c r="D50" s="24"/>
      <c r="E50" s="24"/>
      <c r="F50" s="115">
        <f>'NOM REAL'!B132</f>
        <v>0</v>
      </c>
      <c r="G50" s="78" t="str">
        <f>NOMINA!C50</f>
        <v>Emp 044</v>
      </c>
      <c r="H50" s="117">
        <f t="shared" si="65"/>
        <v>31</v>
      </c>
      <c r="I50" s="78">
        <v>31</v>
      </c>
      <c r="J50" s="78">
        <v>0</v>
      </c>
      <c r="K50" s="78">
        <v>0</v>
      </c>
      <c r="L50" s="118">
        <f>'NOM REAL'!F132</f>
        <v>0</v>
      </c>
      <c r="M50" s="118">
        <f t="shared" si="66"/>
        <v>0</v>
      </c>
      <c r="N50" s="101">
        <f t="shared" si="67"/>
        <v>741.87</v>
      </c>
      <c r="O50" s="101">
        <f t="shared" si="68"/>
        <v>0</v>
      </c>
      <c r="P50" s="101">
        <f t="shared" si="69"/>
        <v>0</v>
      </c>
      <c r="Q50" s="101">
        <f t="shared" si="70"/>
        <v>0</v>
      </c>
      <c r="R50" s="101">
        <f t="shared" si="71"/>
        <v>0</v>
      </c>
      <c r="S50" s="101">
        <f t="shared" si="72"/>
        <v>0</v>
      </c>
      <c r="T50" s="101">
        <f t="shared" si="73"/>
        <v>0</v>
      </c>
      <c r="U50" s="101">
        <f t="shared" si="74"/>
        <v>741.87</v>
      </c>
      <c r="V50" s="119"/>
      <c r="W50" s="101">
        <f t="shared" si="75"/>
        <v>0</v>
      </c>
      <c r="X50" s="101" t="e">
        <f>+ROUND(H50*M50*(VLOOKUP(M50,TABLAS!$B$29:$D$35,3,1)+1.125%),2)</f>
        <v>#N/A</v>
      </c>
      <c r="Y50" s="101">
        <f t="shared" si="76"/>
        <v>0</v>
      </c>
      <c r="Z50" s="101" t="e">
        <f t="shared" si="77"/>
        <v>#N/A</v>
      </c>
      <c r="AA50" s="100"/>
      <c r="AB50" s="101">
        <f t="shared" si="78"/>
        <v>741.87</v>
      </c>
      <c r="AC50" s="101" t="e">
        <f t="shared" si="79"/>
        <v>#N/A</v>
      </c>
      <c r="AD50" s="101">
        <f t="shared" si="80"/>
        <v>0</v>
      </c>
      <c r="AE50" s="101" t="e">
        <f t="shared" si="81"/>
        <v>#N/A</v>
      </c>
      <c r="AF50" s="119"/>
      <c r="AG50" s="101" t="e">
        <f t="shared" si="82"/>
        <v>#N/A</v>
      </c>
      <c r="AH50" s="101" t="e">
        <f t="shared" si="83"/>
        <v>#N/A</v>
      </c>
      <c r="AI50" s="101" t="e">
        <f t="shared" si="84"/>
        <v>#N/A</v>
      </c>
      <c r="AJ50" s="101" t="e">
        <f t="shared" si="85"/>
        <v>#N/A</v>
      </c>
      <c r="AK50" s="101" t="e">
        <f t="shared" si="86"/>
        <v>#N/A</v>
      </c>
      <c r="AL50" s="120" t="e">
        <f>AM50*'NOM REAL'!E132</f>
        <v>#N/A</v>
      </c>
      <c r="AM50" s="101" t="e">
        <f t="shared" si="87"/>
        <v>#N/A</v>
      </c>
    </row>
    <row r="51" spans="1:39" s="40" customFormat="1" ht="12.5" x14ac:dyDescent="0.25">
      <c r="A51" s="24">
        <f t="shared" si="41"/>
        <v>45</v>
      </c>
      <c r="B51" s="24"/>
      <c r="C51" s="24"/>
      <c r="D51" s="24"/>
      <c r="E51" s="24"/>
      <c r="F51" s="115">
        <f>'NOM REAL'!B133</f>
        <v>0</v>
      </c>
      <c r="G51" s="78" t="str">
        <f>NOMINA!C51</f>
        <v>Emp 045</v>
      </c>
      <c r="H51" s="117">
        <f t="shared" si="65"/>
        <v>31</v>
      </c>
      <c r="I51" s="78">
        <v>31</v>
      </c>
      <c r="J51" s="78">
        <v>0</v>
      </c>
      <c r="K51" s="78">
        <v>0</v>
      </c>
      <c r="L51" s="118">
        <f>'NOM REAL'!F133</f>
        <v>0</v>
      </c>
      <c r="M51" s="118">
        <f t="shared" si="66"/>
        <v>0</v>
      </c>
      <c r="N51" s="101">
        <f t="shared" si="67"/>
        <v>741.87</v>
      </c>
      <c r="O51" s="101">
        <f t="shared" si="68"/>
        <v>0</v>
      </c>
      <c r="P51" s="101">
        <f t="shared" si="69"/>
        <v>0</v>
      </c>
      <c r="Q51" s="101">
        <f t="shared" si="70"/>
        <v>0</v>
      </c>
      <c r="R51" s="101">
        <f t="shared" si="71"/>
        <v>0</v>
      </c>
      <c r="S51" s="101">
        <f t="shared" si="72"/>
        <v>0</v>
      </c>
      <c r="T51" s="101">
        <f t="shared" si="73"/>
        <v>0</v>
      </c>
      <c r="U51" s="101">
        <f t="shared" si="74"/>
        <v>741.87</v>
      </c>
      <c r="V51" s="119"/>
      <c r="W51" s="101">
        <f t="shared" si="75"/>
        <v>0</v>
      </c>
      <c r="X51" s="101" t="e">
        <f>+ROUND(H51*M51*(VLOOKUP(M51,TABLAS!$B$29:$D$35,3,1)+1.125%),2)</f>
        <v>#N/A</v>
      </c>
      <c r="Y51" s="101">
        <f t="shared" si="76"/>
        <v>0</v>
      </c>
      <c r="Z51" s="101" t="e">
        <f t="shared" si="77"/>
        <v>#N/A</v>
      </c>
      <c r="AA51" s="100"/>
      <c r="AB51" s="101">
        <f t="shared" si="78"/>
        <v>741.87</v>
      </c>
      <c r="AC51" s="101" t="e">
        <f t="shared" si="79"/>
        <v>#N/A</v>
      </c>
      <c r="AD51" s="101">
        <f t="shared" si="80"/>
        <v>0</v>
      </c>
      <c r="AE51" s="101" t="e">
        <f t="shared" si="81"/>
        <v>#N/A</v>
      </c>
      <c r="AF51" s="119"/>
      <c r="AG51" s="101" t="e">
        <f t="shared" si="82"/>
        <v>#N/A</v>
      </c>
      <c r="AH51" s="101" t="e">
        <f t="shared" si="83"/>
        <v>#N/A</v>
      </c>
      <c r="AI51" s="101" t="e">
        <f t="shared" si="84"/>
        <v>#N/A</v>
      </c>
      <c r="AJ51" s="101" t="e">
        <f t="shared" si="85"/>
        <v>#N/A</v>
      </c>
      <c r="AK51" s="101" t="e">
        <f t="shared" si="86"/>
        <v>#N/A</v>
      </c>
      <c r="AL51" s="120" t="e">
        <f>AM51*'NOM REAL'!E133</f>
        <v>#N/A</v>
      </c>
      <c r="AM51" s="101" t="e">
        <f t="shared" si="87"/>
        <v>#N/A</v>
      </c>
    </row>
    <row r="52" spans="1:39" s="40" customFormat="1" ht="12.5" x14ac:dyDescent="0.25">
      <c r="A52" s="24">
        <f t="shared" si="41"/>
        <v>46</v>
      </c>
      <c r="B52" s="24"/>
      <c r="C52" s="24"/>
      <c r="D52" s="24"/>
      <c r="E52" s="24"/>
      <c r="F52" s="115">
        <f>'NOM REAL'!B134</f>
        <v>0</v>
      </c>
      <c r="G52" s="78" t="str">
        <f>NOMINA!C52</f>
        <v>Emp 046</v>
      </c>
      <c r="H52" s="117">
        <f t="shared" si="65"/>
        <v>31</v>
      </c>
      <c r="I52" s="78">
        <v>31</v>
      </c>
      <c r="J52" s="78">
        <v>0</v>
      </c>
      <c r="K52" s="78">
        <v>0</v>
      </c>
      <c r="L52" s="118">
        <f>'NOM REAL'!F134</f>
        <v>0</v>
      </c>
      <c r="M52" s="118">
        <f t="shared" si="66"/>
        <v>0</v>
      </c>
      <c r="N52" s="101">
        <f t="shared" si="67"/>
        <v>741.87</v>
      </c>
      <c r="O52" s="101">
        <f t="shared" si="68"/>
        <v>0</v>
      </c>
      <c r="P52" s="101">
        <f t="shared" si="69"/>
        <v>0</v>
      </c>
      <c r="Q52" s="101">
        <f t="shared" si="70"/>
        <v>0</v>
      </c>
      <c r="R52" s="101">
        <f t="shared" si="71"/>
        <v>0</v>
      </c>
      <c r="S52" s="101">
        <f t="shared" si="72"/>
        <v>0</v>
      </c>
      <c r="T52" s="101">
        <f t="shared" si="73"/>
        <v>0</v>
      </c>
      <c r="U52" s="101">
        <f t="shared" si="74"/>
        <v>741.87</v>
      </c>
      <c r="V52" s="119"/>
      <c r="W52" s="101">
        <f t="shared" si="75"/>
        <v>0</v>
      </c>
      <c r="X52" s="101" t="e">
        <f>+ROUND(H52*M52*(VLOOKUP(M52,TABLAS!$B$29:$D$35,3,1)+1.125%),2)</f>
        <v>#N/A</v>
      </c>
      <c r="Y52" s="101">
        <f t="shared" si="76"/>
        <v>0</v>
      </c>
      <c r="Z52" s="101" t="e">
        <f t="shared" si="77"/>
        <v>#N/A</v>
      </c>
      <c r="AA52" s="100"/>
      <c r="AB52" s="101">
        <f t="shared" si="78"/>
        <v>741.87</v>
      </c>
      <c r="AC52" s="101" t="e">
        <f t="shared" si="79"/>
        <v>#N/A</v>
      </c>
      <c r="AD52" s="101">
        <f t="shared" si="80"/>
        <v>0</v>
      </c>
      <c r="AE52" s="101" t="e">
        <f t="shared" si="81"/>
        <v>#N/A</v>
      </c>
      <c r="AF52" s="119"/>
      <c r="AG52" s="101" t="e">
        <f t="shared" si="82"/>
        <v>#N/A</v>
      </c>
      <c r="AH52" s="101" t="e">
        <f t="shared" si="83"/>
        <v>#N/A</v>
      </c>
      <c r="AI52" s="101" t="e">
        <f t="shared" si="84"/>
        <v>#N/A</v>
      </c>
      <c r="AJ52" s="101" t="e">
        <f t="shared" si="85"/>
        <v>#N/A</v>
      </c>
      <c r="AK52" s="101" t="e">
        <f t="shared" si="86"/>
        <v>#N/A</v>
      </c>
      <c r="AL52" s="120" t="e">
        <f>AM52*'NOM REAL'!E134</f>
        <v>#N/A</v>
      </c>
      <c r="AM52" s="101" t="e">
        <f t="shared" si="87"/>
        <v>#N/A</v>
      </c>
    </row>
    <row r="53" spans="1:39" s="40" customFormat="1" ht="12.5" x14ac:dyDescent="0.25">
      <c r="A53" s="24">
        <f t="shared" si="41"/>
        <v>47</v>
      </c>
      <c r="B53" s="24"/>
      <c r="C53" s="24"/>
      <c r="D53" s="24"/>
      <c r="E53" s="24"/>
      <c r="F53" s="115">
        <f>'NOM REAL'!B135</f>
        <v>0</v>
      </c>
      <c r="G53" s="78" t="str">
        <f>NOMINA!C53</f>
        <v>Emp 047</v>
      </c>
      <c r="H53" s="117">
        <f t="shared" si="65"/>
        <v>31</v>
      </c>
      <c r="I53" s="78">
        <v>31</v>
      </c>
      <c r="J53" s="78">
        <v>0</v>
      </c>
      <c r="K53" s="78">
        <v>0</v>
      </c>
      <c r="L53" s="118">
        <f>'NOM REAL'!F135</f>
        <v>0</v>
      </c>
      <c r="M53" s="118">
        <f t="shared" si="66"/>
        <v>0</v>
      </c>
      <c r="N53" s="101">
        <f t="shared" si="67"/>
        <v>741.87</v>
      </c>
      <c r="O53" s="101">
        <f t="shared" si="68"/>
        <v>0</v>
      </c>
      <c r="P53" s="101">
        <f t="shared" si="69"/>
        <v>0</v>
      </c>
      <c r="Q53" s="101">
        <f t="shared" si="70"/>
        <v>0</v>
      </c>
      <c r="R53" s="101">
        <f t="shared" si="71"/>
        <v>0</v>
      </c>
      <c r="S53" s="101">
        <f t="shared" si="72"/>
        <v>0</v>
      </c>
      <c r="T53" s="101">
        <f t="shared" si="73"/>
        <v>0</v>
      </c>
      <c r="U53" s="101">
        <f t="shared" si="74"/>
        <v>741.87</v>
      </c>
      <c r="V53" s="119"/>
      <c r="W53" s="101">
        <f t="shared" si="75"/>
        <v>0</v>
      </c>
      <c r="X53" s="101" t="e">
        <f>+ROUND(H53*M53*(VLOOKUP(M53,TABLAS!$B$29:$D$35,3,1)+1.125%),2)</f>
        <v>#N/A</v>
      </c>
      <c r="Y53" s="101">
        <f t="shared" si="76"/>
        <v>0</v>
      </c>
      <c r="Z53" s="101" t="e">
        <f t="shared" si="77"/>
        <v>#N/A</v>
      </c>
      <c r="AA53" s="100"/>
      <c r="AB53" s="101">
        <f t="shared" si="78"/>
        <v>741.87</v>
      </c>
      <c r="AC53" s="101" t="e">
        <f t="shared" si="79"/>
        <v>#N/A</v>
      </c>
      <c r="AD53" s="101">
        <f t="shared" si="80"/>
        <v>0</v>
      </c>
      <c r="AE53" s="101" t="e">
        <f t="shared" si="81"/>
        <v>#N/A</v>
      </c>
      <c r="AF53" s="119"/>
      <c r="AG53" s="101" t="e">
        <f t="shared" si="82"/>
        <v>#N/A</v>
      </c>
      <c r="AH53" s="101" t="e">
        <f t="shared" si="83"/>
        <v>#N/A</v>
      </c>
      <c r="AI53" s="101" t="e">
        <f t="shared" si="84"/>
        <v>#N/A</v>
      </c>
      <c r="AJ53" s="101" t="e">
        <f t="shared" si="85"/>
        <v>#N/A</v>
      </c>
      <c r="AK53" s="101" t="e">
        <f t="shared" si="86"/>
        <v>#N/A</v>
      </c>
      <c r="AL53" s="120" t="e">
        <f>AM53*'NOM REAL'!E135</f>
        <v>#N/A</v>
      </c>
      <c r="AM53" s="101" t="e">
        <f t="shared" si="87"/>
        <v>#N/A</v>
      </c>
    </row>
    <row r="54" spans="1:39" s="40" customFormat="1" ht="12.5" x14ac:dyDescent="0.25">
      <c r="A54" s="24">
        <f t="shared" si="41"/>
        <v>48</v>
      </c>
      <c r="B54" s="24"/>
      <c r="C54" s="24"/>
      <c r="D54" s="24"/>
      <c r="E54" s="24"/>
      <c r="F54" s="115">
        <f>'NOM REAL'!B136</f>
        <v>0</v>
      </c>
      <c r="G54" s="78" t="str">
        <f>NOMINA!C54</f>
        <v>Emp 048</v>
      </c>
      <c r="H54" s="117">
        <f t="shared" si="65"/>
        <v>31</v>
      </c>
      <c r="I54" s="78">
        <v>31</v>
      </c>
      <c r="J54" s="78">
        <v>0</v>
      </c>
      <c r="K54" s="78">
        <v>0</v>
      </c>
      <c r="L54" s="118">
        <f>'NOM REAL'!F136</f>
        <v>0</v>
      </c>
      <c r="M54" s="118">
        <f t="shared" si="66"/>
        <v>0</v>
      </c>
      <c r="N54" s="101">
        <f t="shared" si="67"/>
        <v>741.87</v>
      </c>
      <c r="O54" s="101">
        <f t="shared" si="68"/>
        <v>0</v>
      </c>
      <c r="P54" s="101">
        <f t="shared" si="69"/>
        <v>0</v>
      </c>
      <c r="Q54" s="101">
        <f t="shared" si="70"/>
        <v>0</v>
      </c>
      <c r="R54" s="101">
        <f t="shared" si="71"/>
        <v>0</v>
      </c>
      <c r="S54" s="101">
        <f t="shared" si="72"/>
        <v>0</v>
      </c>
      <c r="T54" s="101">
        <f t="shared" si="73"/>
        <v>0</v>
      </c>
      <c r="U54" s="101">
        <f t="shared" si="74"/>
        <v>741.87</v>
      </c>
      <c r="V54" s="119"/>
      <c r="W54" s="101">
        <f t="shared" si="75"/>
        <v>0</v>
      </c>
      <c r="X54" s="101" t="e">
        <f>+ROUND(H54*M54*(VLOOKUP(M54,TABLAS!$B$29:$D$35,3,1)+1.125%),2)</f>
        <v>#N/A</v>
      </c>
      <c r="Y54" s="101">
        <f t="shared" si="76"/>
        <v>0</v>
      </c>
      <c r="Z54" s="101" t="e">
        <f t="shared" si="77"/>
        <v>#N/A</v>
      </c>
      <c r="AA54" s="100"/>
      <c r="AB54" s="101">
        <f t="shared" si="78"/>
        <v>741.87</v>
      </c>
      <c r="AC54" s="101" t="e">
        <f t="shared" si="79"/>
        <v>#N/A</v>
      </c>
      <c r="AD54" s="101">
        <f t="shared" si="80"/>
        <v>0</v>
      </c>
      <c r="AE54" s="101" t="e">
        <f t="shared" si="81"/>
        <v>#N/A</v>
      </c>
      <c r="AF54" s="119"/>
      <c r="AG54" s="101" t="e">
        <f t="shared" si="82"/>
        <v>#N/A</v>
      </c>
      <c r="AH54" s="101" t="e">
        <f t="shared" si="83"/>
        <v>#N/A</v>
      </c>
      <c r="AI54" s="101" t="e">
        <f t="shared" si="84"/>
        <v>#N/A</v>
      </c>
      <c r="AJ54" s="101" t="e">
        <f t="shared" si="85"/>
        <v>#N/A</v>
      </c>
      <c r="AK54" s="101" t="e">
        <f t="shared" si="86"/>
        <v>#N/A</v>
      </c>
      <c r="AL54" s="120" t="e">
        <f>AM54*'NOM REAL'!E136</f>
        <v>#N/A</v>
      </c>
      <c r="AM54" s="101" t="e">
        <f t="shared" si="87"/>
        <v>#N/A</v>
      </c>
    </row>
    <row r="55" spans="1:39" s="40" customFormat="1" ht="12.5" x14ac:dyDescent="0.25">
      <c r="A55" s="24">
        <f t="shared" si="41"/>
        <v>49</v>
      </c>
      <c r="B55" s="24"/>
      <c r="C55" s="24"/>
      <c r="D55" s="24"/>
      <c r="E55" s="24"/>
      <c r="F55" s="115">
        <f>'NOM REAL'!B137</f>
        <v>0</v>
      </c>
      <c r="G55" s="78" t="str">
        <f>NOMINA!C55</f>
        <v>Emp 049</v>
      </c>
      <c r="H55" s="117">
        <f t="shared" si="65"/>
        <v>31</v>
      </c>
      <c r="I55" s="78">
        <v>31</v>
      </c>
      <c r="J55" s="78">
        <v>0</v>
      </c>
      <c r="K55" s="78">
        <v>0</v>
      </c>
      <c r="L55" s="118">
        <f>'NOM REAL'!F137</f>
        <v>0</v>
      </c>
      <c r="M55" s="118">
        <f t="shared" si="66"/>
        <v>0</v>
      </c>
      <c r="N55" s="101">
        <f t="shared" si="67"/>
        <v>741.87</v>
      </c>
      <c r="O55" s="101">
        <f t="shared" si="68"/>
        <v>0</v>
      </c>
      <c r="P55" s="101">
        <f t="shared" si="69"/>
        <v>0</v>
      </c>
      <c r="Q55" s="101">
        <f t="shared" si="70"/>
        <v>0</v>
      </c>
      <c r="R55" s="101">
        <f t="shared" si="71"/>
        <v>0</v>
      </c>
      <c r="S55" s="101">
        <f t="shared" si="72"/>
        <v>0</v>
      </c>
      <c r="T55" s="101">
        <f t="shared" si="73"/>
        <v>0</v>
      </c>
      <c r="U55" s="101">
        <f t="shared" si="74"/>
        <v>741.87</v>
      </c>
      <c r="V55" s="119"/>
      <c r="W55" s="101">
        <f t="shared" si="75"/>
        <v>0</v>
      </c>
      <c r="X55" s="101" t="e">
        <f>+ROUND(H55*M55*(VLOOKUP(M55,TABLAS!$B$29:$D$35,3,1)+1.125%),2)</f>
        <v>#N/A</v>
      </c>
      <c r="Y55" s="101">
        <f t="shared" si="76"/>
        <v>0</v>
      </c>
      <c r="Z55" s="101" t="e">
        <f t="shared" si="77"/>
        <v>#N/A</v>
      </c>
      <c r="AA55" s="100"/>
      <c r="AB55" s="101">
        <f t="shared" si="78"/>
        <v>741.87</v>
      </c>
      <c r="AC55" s="101" t="e">
        <f t="shared" si="79"/>
        <v>#N/A</v>
      </c>
      <c r="AD55" s="101">
        <f t="shared" si="80"/>
        <v>0</v>
      </c>
      <c r="AE55" s="101" t="e">
        <f t="shared" si="81"/>
        <v>#N/A</v>
      </c>
      <c r="AF55" s="119"/>
      <c r="AG55" s="101" t="e">
        <f t="shared" si="82"/>
        <v>#N/A</v>
      </c>
      <c r="AH55" s="101" t="e">
        <f t="shared" si="83"/>
        <v>#N/A</v>
      </c>
      <c r="AI55" s="101" t="e">
        <f t="shared" si="84"/>
        <v>#N/A</v>
      </c>
      <c r="AJ55" s="101" t="e">
        <f t="shared" si="85"/>
        <v>#N/A</v>
      </c>
      <c r="AK55" s="101" t="e">
        <f t="shared" si="86"/>
        <v>#N/A</v>
      </c>
      <c r="AL55" s="120" t="e">
        <f>AM55*'NOM REAL'!E137</f>
        <v>#N/A</v>
      </c>
      <c r="AM55" s="101" t="e">
        <f t="shared" si="87"/>
        <v>#N/A</v>
      </c>
    </row>
    <row r="56" spans="1:39" s="40" customFormat="1" ht="12.5" x14ac:dyDescent="0.25">
      <c r="A56" s="24">
        <f t="shared" si="41"/>
        <v>50</v>
      </c>
      <c r="B56" s="24"/>
      <c r="C56" s="24"/>
      <c r="D56" s="24"/>
      <c r="E56" s="24"/>
      <c r="F56" s="115">
        <f>'NOM REAL'!B138</f>
        <v>0</v>
      </c>
      <c r="G56" s="78" t="str">
        <f>NOMINA!C56</f>
        <v>Emp 050</v>
      </c>
      <c r="H56" s="117">
        <f t="shared" si="65"/>
        <v>31</v>
      </c>
      <c r="I56" s="78">
        <v>31</v>
      </c>
      <c r="J56" s="78">
        <v>0</v>
      </c>
      <c r="K56" s="78">
        <v>0</v>
      </c>
      <c r="L56" s="118">
        <f>'NOM REAL'!F138</f>
        <v>0</v>
      </c>
      <c r="M56" s="118">
        <f t="shared" si="66"/>
        <v>0</v>
      </c>
      <c r="N56" s="101">
        <f t="shared" si="67"/>
        <v>741.87</v>
      </c>
      <c r="O56" s="101">
        <f t="shared" si="68"/>
        <v>0</v>
      </c>
      <c r="P56" s="101">
        <f t="shared" si="69"/>
        <v>0</v>
      </c>
      <c r="Q56" s="101">
        <f t="shared" si="70"/>
        <v>0</v>
      </c>
      <c r="R56" s="101">
        <f t="shared" si="71"/>
        <v>0</v>
      </c>
      <c r="S56" s="101">
        <f t="shared" si="72"/>
        <v>0</v>
      </c>
      <c r="T56" s="101">
        <f t="shared" si="73"/>
        <v>0</v>
      </c>
      <c r="U56" s="101">
        <f t="shared" si="74"/>
        <v>741.87</v>
      </c>
      <c r="V56" s="119"/>
      <c r="W56" s="101">
        <f t="shared" si="75"/>
        <v>0</v>
      </c>
      <c r="X56" s="101" t="e">
        <f>+ROUND(H56*M56*(VLOOKUP(M56,TABLAS!$B$29:$D$35,3,1)+1.125%),2)</f>
        <v>#N/A</v>
      </c>
      <c r="Y56" s="101">
        <f t="shared" si="76"/>
        <v>0</v>
      </c>
      <c r="Z56" s="101" t="e">
        <f t="shared" si="77"/>
        <v>#N/A</v>
      </c>
      <c r="AA56" s="100"/>
      <c r="AB56" s="101">
        <f t="shared" si="78"/>
        <v>741.87</v>
      </c>
      <c r="AC56" s="101" t="e">
        <f t="shared" si="79"/>
        <v>#N/A</v>
      </c>
      <c r="AD56" s="101">
        <f t="shared" si="80"/>
        <v>0</v>
      </c>
      <c r="AE56" s="101" t="e">
        <f t="shared" si="81"/>
        <v>#N/A</v>
      </c>
      <c r="AF56" s="119"/>
      <c r="AG56" s="101" t="e">
        <f t="shared" si="82"/>
        <v>#N/A</v>
      </c>
      <c r="AH56" s="101" t="e">
        <f t="shared" si="83"/>
        <v>#N/A</v>
      </c>
      <c r="AI56" s="101" t="e">
        <f t="shared" si="84"/>
        <v>#N/A</v>
      </c>
      <c r="AJ56" s="101" t="e">
        <f t="shared" si="85"/>
        <v>#N/A</v>
      </c>
      <c r="AK56" s="101" t="e">
        <f t="shared" si="86"/>
        <v>#N/A</v>
      </c>
      <c r="AL56" s="120" t="e">
        <f>AM56*'NOM REAL'!E138</f>
        <v>#N/A</v>
      </c>
      <c r="AM56" s="101" t="e">
        <f t="shared" si="87"/>
        <v>#N/A</v>
      </c>
    </row>
    <row r="57" spans="1:39" s="40" customFormat="1" ht="12.5" x14ac:dyDescent="0.25">
      <c r="A57" s="24">
        <f t="shared" si="41"/>
        <v>51</v>
      </c>
      <c r="B57" s="24"/>
      <c r="C57" s="24"/>
      <c r="D57" s="24"/>
      <c r="E57" s="24"/>
      <c r="F57" s="115">
        <f>'NOM REAL'!B139</f>
        <v>0</v>
      </c>
      <c r="G57" s="78" t="str">
        <f>NOMINA!C57</f>
        <v>Emp 051</v>
      </c>
      <c r="H57" s="117">
        <f t="shared" si="65"/>
        <v>31</v>
      </c>
      <c r="I57" s="78">
        <v>31</v>
      </c>
      <c r="J57" s="78">
        <v>0</v>
      </c>
      <c r="K57" s="78">
        <v>0</v>
      </c>
      <c r="L57" s="118">
        <f>'NOM REAL'!F139</f>
        <v>0</v>
      </c>
      <c r="M57" s="118">
        <f t="shared" si="66"/>
        <v>0</v>
      </c>
      <c r="N57" s="101">
        <f t="shared" si="67"/>
        <v>741.87</v>
      </c>
      <c r="O57" s="101">
        <f t="shared" si="68"/>
        <v>0</v>
      </c>
      <c r="P57" s="101">
        <f t="shared" si="69"/>
        <v>0</v>
      </c>
      <c r="Q57" s="101">
        <f t="shared" si="70"/>
        <v>0</v>
      </c>
      <c r="R57" s="101">
        <f t="shared" si="71"/>
        <v>0</v>
      </c>
      <c r="S57" s="101">
        <f t="shared" si="72"/>
        <v>0</v>
      </c>
      <c r="T57" s="101">
        <f t="shared" si="73"/>
        <v>0</v>
      </c>
      <c r="U57" s="101">
        <f t="shared" si="74"/>
        <v>741.87</v>
      </c>
      <c r="V57" s="119"/>
      <c r="W57" s="101">
        <f t="shared" si="75"/>
        <v>0</v>
      </c>
      <c r="X57" s="101" t="e">
        <f>+ROUND(H57*M57*(VLOOKUP(M57,TABLAS!$B$29:$D$35,3,1)+1.125%),2)</f>
        <v>#N/A</v>
      </c>
      <c r="Y57" s="101">
        <f t="shared" si="76"/>
        <v>0</v>
      </c>
      <c r="Z57" s="101" t="e">
        <f t="shared" si="77"/>
        <v>#N/A</v>
      </c>
      <c r="AA57" s="100"/>
      <c r="AB57" s="101">
        <f t="shared" si="78"/>
        <v>741.87</v>
      </c>
      <c r="AC57" s="101" t="e">
        <f t="shared" si="79"/>
        <v>#N/A</v>
      </c>
      <c r="AD57" s="101">
        <f t="shared" si="80"/>
        <v>0</v>
      </c>
      <c r="AE57" s="101" t="e">
        <f t="shared" si="81"/>
        <v>#N/A</v>
      </c>
      <c r="AF57" s="119"/>
      <c r="AG57" s="101" t="e">
        <f t="shared" si="82"/>
        <v>#N/A</v>
      </c>
      <c r="AH57" s="101" t="e">
        <f t="shared" si="83"/>
        <v>#N/A</v>
      </c>
      <c r="AI57" s="101" t="e">
        <f t="shared" si="84"/>
        <v>#N/A</v>
      </c>
      <c r="AJ57" s="101" t="e">
        <f t="shared" si="85"/>
        <v>#N/A</v>
      </c>
      <c r="AK57" s="101" t="e">
        <f t="shared" si="86"/>
        <v>#N/A</v>
      </c>
      <c r="AL57" s="120" t="e">
        <f>AM57*'NOM REAL'!E139</f>
        <v>#N/A</v>
      </c>
      <c r="AM57" s="101" t="e">
        <f t="shared" si="87"/>
        <v>#N/A</v>
      </c>
    </row>
    <row r="58" spans="1:39" s="40" customFormat="1" ht="12.5" x14ac:dyDescent="0.25">
      <c r="A58" s="24">
        <f t="shared" si="41"/>
        <v>52</v>
      </c>
      <c r="B58" s="24"/>
      <c r="C58" s="24"/>
      <c r="D58" s="24"/>
      <c r="E58" s="24"/>
      <c r="F58" s="115">
        <f>'NOM REAL'!B140</f>
        <v>0</v>
      </c>
      <c r="G58" s="78" t="str">
        <f>NOMINA!C58</f>
        <v>Emp 052</v>
      </c>
      <c r="H58" s="117">
        <f t="shared" si="65"/>
        <v>31</v>
      </c>
      <c r="I58" s="78">
        <v>31</v>
      </c>
      <c r="J58" s="78">
        <v>0</v>
      </c>
      <c r="K58" s="78">
        <v>0</v>
      </c>
      <c r="L58" s="118">
        <f>'NOM REAL'!F140</f>
        <v>0</v>
      </c>
      <c r="M58" s="118">
        <f t="shared" si="66"/>
        <v>0</v>
      </c>
      <c r="N58" s="101">
        <f t="shared" si="67"/>
        <v>741.87</v>
      </c>
      <c r="O58" s="101">
        <f t="shared" si="68"/>
        <v>0</v>
      </c>
      <c r="P58" s="101">
        <f t="shared" si="69"/>
        <v>0</v>
      </c>
      <c r="Q58" s="101">
        <f t="shared" si="70"/>
        <v>0</v>
      </c>
      <c r="R58" s="101">
        <f t="shared" si="71"/>
        <v>0</v>
      </c>
      <c r="S58" s="101">
        <f t="shared" si="72"/>
        <v>0</v>
      </c>
      <c r="T58" s="101">
        <f t="shared" si="73"/>
        <v>0</v>
      </c>
      <c r="U58" s="101">
        <f t="shared" si="74"/>
        <v>741.87</v>
      </c>
      <c r="V58" s="119"/>
      <c r="W58" s="101">
        <f t="shared" si="75"/>
        <v>0</v>
      </c>
      <c r="X58" s="101" t="e">
        <f>+ROUND(H58*M58*(VLOOKUP(M58,TABLAS!$B$29:$D$35,3,1)+1.125%),2)</f>
        <v>#N/A</v>
      </c>
      <c r="Y58" s="101">
        <f t="shared" si="76"/>
        <v>0</v>
      </c>
      <c r="Z58" s="101" t="e">
        <f t="shared" si="77"/>
        <v>#N/A</v>
      </c>
      <c r="AA58" s="100"/>
      <c r="AB58" s="101">
        <f t="shared" si="78"/>
        <v>741.87</v>
      </c>
      <c r="AC58" s="101" t="e">
        <f t="shared" si="79"/>
        <v>#N/A</v>
      </c>
      <c r="AD58" s="101">
        <f t="shared" si="80"/>
        <v>0</v>
      </c>
      <c r="AE58" s="101" t="e">
        <f t="shared" si="81"/>
        <v>#N/A</v>
      </c>
      <c r="AF58" s="119"/>
      <c r="AG58" s="101" t="e">
        <f t="shared" si="82"/>
        <v>#N/A</v>
      </c>
      <c r="AH58" s="101" t="e">
        <f t="shared" si="83"/>
        <v>#N/A</v>
      </c>
      <c r="AI58" s="101" t="e">
        <f t="shared" si="84"/>
        <v>#N/A</v>
      </c>
      <c r="AJ58" s="101" t="e">
        <f t="shared" si="85"/>
        <v>#N/A</v>
      </c>
      <c r="AK58" s="101" t="e">
        <f t="shared" si="86"/>
        <v>#N/A</v>
      </c>
      <c r="AL58" s="120" t="e">
        <f>AM58*'NOM REAL'!E140</f>
        <v>#N/A</v>
      </c>
      <c r="AM58" s="101" t="e">
        <f t="shared" si="87"/>
        <v>#N/A</v>
      </c>
    </row>
    <row r="59" spans="1:39" s="40" customFormat="1" ht="12.5" x14ac:dyDescent="0.25">
      <c r="A59" s="24">
        <f t="shared" si="41"/>
        <v>53</v>
      </c>
      <c r="B59" s="24"/>
      <c r="C59" s="24"/>
      <c r="D59" s="24"/>
      <c r="E59" s="24"/>
      <c r="F59" s="115">
        <f>'NOM REAL'!B141</f>
        <v>0</v>
      </c>
      <c r="G59" s="78" t="str">
        <f>NOMINA!C59</f>
        <v>Emp 053</v>
      </c>
      <c r="H59" s="117">
        <f t="shared" si="65"/>
        <v>31</v>
      </c>
      <c r="I59" s="78">
        <v>31</v>
      </c>
      <c r="J59" s="78">
        <v>0</v>
      </c>
      <c r="K59" s="78">
        <v>0</v>
      </c>
      <c r="L59" s="118">
        <f>'NOM REAL'!F141</f>
        <v>0</v>
      </c>
      <c r="M59" s="118">
        <f t="shared" si="66"/>
        <v>0</v>
      </c>
      <c r="N59" s="101">
        <f t="shared" si="67"/>
        <v>741.87</v>
      </c>
      <c r="O59" s="101">
        <f t="shared" si="68"/>
        <v>0</v>
      </c>
      <c r="P59" s="101">
        <f t="shared" si="69"/>
        <v>0</v>
      </c>
      <c r="Q59" s="101">
        <f t="shared" si="70"/>
        <v>0</v>
      </c>
      <c r="R59" s="101">
        <f t="shared" si="71"/>
        <v>0</v>
      </c>
      <c r="S59" s="101">
        <f t="shared" si="72"/>
        <v>0</v>
      </c>
      <c r="T59" s="101">
        <f t="shared" si="73"/>
        <v>0</v>
      </c>
      <c r="U59" s="101">
        <f t="shared" si="74"/>
        <v>741.87</v>
      </c>
      <c r="V59" s="119"/>
      <c r="W59" s="101">
        <f t="shared" si="75"/>
        <v>0</v>
      </c>
      <c r="X59" s="101" t="e">
        <f>+ROUND(H59*M59*(VLOOKUP(M59,TABLAS!$B$29:$D$35,3,1)+1.125%),2)</f>
        <v>#N/A</v>
      </c>
      <c r="Y59" s="101">
        <f t="shared" si="76"/>
        <v>0</v>
      </c>
      <c r="Z59" s="101" t="e">
        <f t="shared" si="77"/>
        <v>#N/A</v>
      </c>
      <c r="AA59" s="100"/>
      <c r="AB59" s="101">
        <f t="shared" si="78"/>
        <v>741.87</v>
      </c>
      <c r="AC59" s="101" t="e">
        <f t="shared" si="79"/>
        <v>#N/A</v>
      </c>
      <c r="AD59" s="101">
        <f t="shared" si="80"/>
        <v>0</v>
      </c>
      <c r="AE59" s="101" t="e">
        <f t="shared" si="81"/>
        <v>#N/A</v>
      </c>
      <c r="AF59" s="119"/>
      <c r="AG59" s="101" t="e">
        <f t="shared" si="82"/>
        <v>#N/A</v>
      </c>
      <c r="AH59" s="101" t="e">
        <f t="shared" si="83"/>
        <v>#N/A</v>
      </c>
      <c r="AI59" s="101" t="e">
        <f t="shared" si="84"/>
        <v>#N/A</v>
      </c>
      <c r="AJ59" s="101" t="e">
        <f t="shared" si="85"/>
        <v>#N/A</v>
      </c>
      <c r="AK59" s="101" t="e">
        <f t="shared" si="86"/>
        <v>#N/A</v>
      </c>
      <c r="AL59" s="120" t="e">
        <f>AM59*'NOM REAL'!E141</f>
        <v>#N/A</v>
      </c>
      <c r="AM59" s="101" t="e">
        <f t="shared" si="87"/>
        <v>#N/A</v>
      </c>
    </row>
    <row r="60" spans="1:39" s="40" customFormat="1" ht="12.5" x14ac:dyDescent="0.25">
      <c r="A60" s="24">
        <f t="shared" si="41"/>
        <v>54</v>
      </c>
      <c r="B60" s="24"/>
      <c r="C60" s="24"/>
      <c r="D60" s="24"/>
      <c r="E60" s="24"/>
      <c r="F60" s="115">
        <f>'NOM REAL'!B142</f>
        <v>0</v>
      </c>
      <c r="G60" s="78" t="str">
        <f>NOMINA!C60</f>
        <v>Emp 054</v>
      </c>
      <c r="H60" s="117">
        <f t="shared" si="65"/>
        <v>31</v>
      </c>
      <c r="I60" s="78">
        <v>31</v>
      </c>
      <c r="J60" s="78">
        <v>0</v>
      </c>
      <c r="K60" s="78">
        <v>0</v>
      </c>
      <c r="L60" s="118">
        <f>'NOM REAL'!F142</f>
        <v>0</v>
      </c>
      <c r="M60" s="118">
        <f t="shared" si="66"/>
        <v>0</v>
      </c>
      <c r="N60" s="101">
        <f t="shared" si="67"/>
        <v>741.87</v>
      </c>
      <c r="O60" s="101">
        <f t="shared" si="68"/>
        <v>0</v>
      </c>
      <c r="P60" s="101">
        <f t="shared" si="69"/>
        <v>0</v>
      </c>
      <c r="Q60" s="101">
        <f t="shared" si="70"/>
        <v>0</v>
      </c>
      <c r="R60" s="101">
        <f t="shared" si="71"/>
        <v>0</v>
      </c>
      <c r="S60" s="101">
        <f t="shared" si="72"/>
        <v>0</v>
      </c>
      <c r="T60" s="101">
        <f t="shared" si="73"/>
        <v>0</v>
      </c>
      <c r="U60" s="101">
        <f t="shared" si="74"/>
        <v>741.87</v>
      </c>
      <c r="V60" s="119"/>
      <c r="W60" s="101">
        <f t="shared" si="75"/>
        <v>0</v>
      </c>
      <c r="X60" s="101" t="e">
        <f>+ROUND(H60*M60*(VLOOKUP(M60,TABLAS!$B$29:$D$35,3,1)+1.125%),2)</f>
        <v>#N/A</v>
      </c>
      <c r="Y60" s="101">
        <f t="shared" si="76"/>
        <v>0</v>
      </c>
      <c r="Z60" s="101" t="e">
        <f t="shared" si="77"/>
        <v>#N/A</v>
      </c>
      <c r="AA60" s="100"/>
      <c r="AB60" s="101">
        <f t="shared" si="78"/>
        <v>741.87</v>
      </c>
      <c r="AC60" s="101" t="e">
        <f t="shared" si="79"/>
        <v>#N/A</v>
      </c>
      <c r="AD60" s="101">
        <f t="shared" si="80"/>
        <v>0</v>
      </c>
      <c r="AE60" s="101" t="e">
        <f t="shared" si="81"/>
        <v>#N/A</v>
      </c>
      <c r="AF60" s="119"/>
      <c r="AG60" s="101" t="e">
        <f t="shared" si="82"/>
        <v>#N/A</v>
      </c>
      <c r="AH60" s="101" t="e">
        <f t="shared" si="83"/>
        <v>#N/A</v>
      </c>
      <c r="AI60" s="101" t="e">
        <f t="shared" si="84"/>
        <v>#N/A</v>
      </c>
      <c r="AJ60" s="101" t="e">
        <f t="shared" si="85"/>
        <v>#N/A</v>
      </c>
      <c r="AK60" s="101" t="e">
        <f t="shared" si="86"/>
        <v>#N/A</v>
      </c>
      <c r="AL60" s="120" t="e">
        <f>AM60*'NOM REAL'!E142</f>
        <v>#N/A</v>
      </c>
      <c r="AM60" s="101" t="e">
        <f t="shared" si="87"/>
        <v>#N/A</v>
      </c>
    </row>
    <row r="61" spans="1:39" s="40" customFormat="1" ht="12.5" x14ac:dyDescent="0.25">
      <c r="A61" s="24">
        <f t="shared" si="41"/>
        <v>55</v>
      </c>
      <c r="B61" s="24"/>
      <c r="C61" s="24"/>
      <c r="D61" s="24"/>
      <c r="E61" s="24"/>
      <c r="F61" s="115">
        <f>'NOM REAL'!B143</f>
        <v>0</v>
      </c>
      <c r="G61" s="78" t="str">
        <f>NOMINA!C61</f>
        <v>Emp 055</v>
      </c>
      <c r="H61" s="117">
        <f t="shared" si="65"/>
        <v>31</v>
      </c>
      <c r="I61" s="78">
        <v>31</v>
      </c>
      <c r="J61" s="78">
        <v>0</v>
      </c>
      <c r="K61" s="78">
        <v>0</v>
      </c>
      <c r="L61" s="118">
        <f>'NOM REAL'!F143</f>
        <v>0</v>
      </c>
      <c r="M61" s="118">
        <f t="shared" si="66"/>
        <v>0</v>
      </c>
      <c r="N61" s="101">
        <f t="shared" si="67"/>
        <v>741.87</v>
      </c>
      <c r="O61" s="101">
        <f t="shared" si="68"/>
        <v>0</v>
      </c>
      <c r="P61" s="101">
        <f t="shared" si="69"/>
        <v>0</v>
      </c>
      <c r="Q61" s="101">
        <f t="shared" si="70"/>
        <v>0</v>
      </c>
      <c r="R61" s="101">
        <f t="shared" si="71"/>
        <v>0</v>
      </c>
      <c r="S61" s="101">
        <f t="shared" si="72"/>
        <v>0</v>
      </c>
      <c r="T61" s="101">
        <f t="shared" si="73"/>
        <v>0</v>
      </c>
      <c r="U61" s="101">
        <f t="shared" si="74"/>
        <v>741.87</v>
      </c>
      <c r="V61" s="119"/>
      <c r="W61" s="101">
        <f t="shared" si="75"/>
        <v>0</v>
      </c>
      <c r="X61" s="101" t="e">
        <f>+ROUND(H61*M61*(VLOOKUP(M61,TABLAS!$B$29:$D$35,3,1)+1.125%),2)</f>
        <v>#N/A</v>
      </c>
      <c r="Y61" s="101">
        <f t="shared" si="76"/>
        <v>0</v>
      </c>
      <c r="Z61" s="101" t="e">
        <f t="shared" si="77"/>
        <v>#N/A</v>
      </c>
      <c r="AA61" s="100"/>
      <c r="AB61" s="101">
        <f t="shared" si="78"/>
        <v>741.87</v>
      </c>
      <c r="AC61" s="101" t="e">
        <f t="shared" si="79"/>
        <v>#N/A</v>
      </c>
      <c r="AD61" s="101">
        <f t="shared" si="80"/>
        <v>0</v>
      </c>
      <c r="AE61" s="101" t="e">
        <f t="shared" si="81"/>
        <v>#N/A</v>
      </c>
      <c r="AF61" s="119"/>
      <c r="AG61" s="101" t="e">
        <f t="shared" si="82"/>
        <v>#N/A</v>
      </c>
      <c r="AH61" s="101" t="e">
        <f t="shared" si="83"/>
        <v>#N/A</v>
      </c>
      <c r="AI61" s="101" t="e">
        <f t="shared" si="84"/>
        <v>#N/A</v>
      </c>
      <c r="AJ61" s="101" t="e">
        <f t="shared" si="85"/>
        <v>#N/A</v>
      </c>
      <c r="AK61" s="101" t="e">
        <f t="shared" si="86"/>
        <v>#N/A</v>
      </c>
      <c r="AL61" s="120" t="e">
        <f>AM61*'NOM REAL'!E143</f>
        <v>#N/A</v>
      </c>
      <c r="AM61" s="101" t="e">
        <f t="shared" si="87"/>
        <v>#N/A</v>
      </c>
    </row>
    <row r="62" spans="1:39" s="40" customFormat="1" ht="12.5" x14ac:dyDescent="0.25">
      <c r="A62" s="24">
        <f t="shared" si="41"/>
        <v>56</v>
      </c>
      <c r="B62" s="24"/>
      <c r="C62" s="24"/>
      <c r="D62" s="24"/>
      <c r="E62" s="24"/>
      <c r="F62" s="115">
        <f>'NOM REAL'!B144</f>
        <v>0</v>
      </c>
      <c r="G62" s="78" t="str">
        <f>NOMINA!C62</f>
        <v>Emp 056</v>
      </c>
      <c r="H62" s="117">
        <f t="shared" si="65"/>
        <v>31</v>
      </c>
      <c r="I62" s="78">
        <v>31</v>
      </c>
      <c r="J62" s="78">
        <v>0</v>
      </c>
      <c r="K62" s="78">
        <v>0</v>
      </c>
      <c r="L62" s="118">
        <f>'NOM REAL'!F144</f>
        <v>0</v>
      </c>
      <c r="M62" s="118">
        <f t="shared" si="66"/>
        <v>0</v>
      </c>
      <c r="N62" s="101">
        <f t="shared" si="67"/>
        <v>741.87</v>
      </c>
      <c r="O62" s="101">
        <f t="shared" si="68"/>
        <v>0</v>
      </c>
      <c r="P62" s="101">
        <f t="shared" si="69"/>
        <v>0</v>
      </c>
      <c r="Q62" s="101">
        <f t="shared" si="70"/>
        <v>0</v>
      </c>
      <c r="R62" s="101">
        <f t="shared" si="71"/>
        <v>0</v>
      </c>
      <c r="S62" s="101">
        <f t="shared" si="72"/>
        <v>0</v>
      </c>
      <c r="T62" s="101">
        <f t="shared" si="73"/>
        <v>0</v>
      </c>
      <c r="U62" s="101">
        <f t="shared" si="74"/>
        <v>741.87</v>
      </c>
      <c r="V62" s="119"/>
      <c r="W62" s="101">
        <f t="shared" si="75"/>
        <v>0</v>
      </c>
      <c r="X62" s="101" t="e">
        <f>+ROUND(H62*M62*(VLOOKUP(M62,TABLAS!$B$29:$D$35,3,1)+1.125%),2)</f>
        <v>#N/A</v>
      </c>
      <c r="Y62" s="101">
        <f t="shared" si="76"/>
        <v>0</v>
      </c>
      <c r="Z62" s="101" t="e">
        <f t="shared" si="77"/>
        <v>#N/A</v>
      </c>
      <c r="AA62" s="100"/>
      <c r="AB62" s="101">
        <f t="shared" si="78"/>
        <v>741.87</v>
      </c>
      <c r="AC62" s="101" t="e">
        <f t="shared" si="79"/>
        <v>#N/A</v>
      </c>
      <c r="AD62" s="101">
        <f t="shared" si="80"/>
        <v>0</v>
      </c>
      <c r="AE62" s="101" t="e">
        <f t="shared" si="81"/>
        <v>#N/A</v>
      </c>
      <c r="AF62" s="119"/>
      <c r="AG62" s="101" t="e">
        <f t="shared" si="82"/>
        <v>#N/A</v>
      </c>
      <c r="AH62" s="101" t="e">
        <f t="shared" si="83"/>
        <v>#N/A</v>
      </c>
      <c r="AI62" s="101" t="e">
        <f t="shared" si="84"/>
        <v>#N/A</v>
      </c>
      <c r="AJ62" s="101" t="e">
        <f t="shared" si="85"/>
        <v>#N/A</v>
      </c>
      <c r="AK62" s="101" t="e">
        <f t="shared" si="86"/>
        <v>#N/A</v>
      </c>
      <c r="AL62" s="120" t="e">
        <f>AM62*'NOM REAL'!E144</f>
        <v>#N/A</v>
      </c>
      <c r="AM62" s="101" t="e">
        <f t="shared" si="87"/>
        <v>#N/A</v>
      </c>
    </row>
    <row r="63" spans="1:39" s="40" customFormat="1" ht="12.5" x14ac:dyDescent="0.25">
      <c r="A63" s="24">
        <f t="shared" si="41"/>
        <v>57</v>
      </c>
      <c r="B63" s="24"/>
      <c r="C63" s="24"/>
      <c r="D63" s="24"/>
      <c r="E63" s="24"/>
      <c r="F63" s="115">
        <f>'NOM REAL'!B145</f>
        <v>0</v>
      </c>
      <c r="G63" s="78" t="str">
        <f>NOMINA!C63</f>
        <v>Emp 057</v>
      </c>
      <c r="H63" s="117">
        <f t="shared" si="65"/>
        <v>31</v>
      </c>
      <c r="I63" s="78">
        <v>31</v>
      </c>
      <c r="J63" s="78">
        <v>0</v>
      </c>
      <c r="K63" s="78">
        <v>0</v>
      </c>
      <c r="L63" s="118">
        <f>'NOM REAL'!F145</f>
        <v>0</v>
      </c>
      <c r="M63" s="118">
        <f t="shared" si="66"/>
        <v>0</v>
      </c>
      <c r="N63" s="101">
        <f t="shared" si="67"/>
        <v>741.87</v>
      </c>
      <c r="O63" s="101">
        <f t="shared" si="68"/>
        <v>0</v>
      </c>
      <c r="P63" s="101">
        <f t="shared" si="69"/>
        <v>0</v>
      </c>
      <c r="Q63" s="101">
        <f t="shared" si="70"/>
        <v>0</v>
      </c>
      <c r="R63" s="101">
        <f t="shared" si="71"/>
        <v>0</v>
      </c>
      <c r="S63" s="101">
        <f t="shared" si="72"/>
        <v>0</v>
      </c>
      <c r="T63" s="101">
        <f t="shared" si="73"/>
        <v>0</v>
      </c>
      <c r="U63" s="101">
        <f t="shared" si="74"/>
        <v>741.87</v>
      </c>
      <c r="V63" s="119"/>
      <c r="W63" s="101">
        <f t="shared" si="75"/>
        <v>0</v>
      </c>
      <c r="X63" s="101" t="e">
        <f>+ROUND(H63*M63*(VLOOKUP(M63,TABLAS!$B$29:$D$35,3,1)+1.125%),2)</f>
        <v>#N/A</v>
      </c>
      <c r="Y63" s="101">
        <f t="shared" si="76"/>
        <v>0</v>
      </c>
      <c r="Z63" s="101" t="e">
        <f t="shared" si="77"/>
        <v>#N/A</v>
      </c>
      <c r="AA63" s="100"/>
      <c r="AB63" s="101">
        <f t="shared" si="78"/>
        <v>741.87</v>
      </c>
      <c r="AC63" s="101" t="e">
        <f t="shared" si="79"/>
        <v>#N/A</v>
      </c>
      <c r="AD63" s="101">
        <f t="shared" si="80"/>
        <v>0</v>
      </c>
      <c r="AE63" s="101" t="e">
        <f t="shared" si="81"/>
        <v>#N/A</v>
      </c>
      <c r="AF63" s="119"/>
      <c r="AG63" s="101" t="e">
        <f t="shared" si="82"/>
        <v>#N/A</v>
      </c>
      <c r="AH63" s="101" t="e">
        <f t="shared" si="83"/>
        <v>#N/A</v>
      </c>
      <c r="AI63" s="101" t="e">
        <f t="shared" si="84"/>
        <v>#N/A</v>
      </c>
      <c r="AJ63" s="101" t="e">
        <f t="shared" si="85"/>
        <v>#N/A</v>
      </c>
      <c r="AK63" s="101" t="e">
        <f t="shared" si="86"/>
        <v>#N/A</v>
      </c>
      <c r="AL63" s="120" t="e">
        <f>AM63*'NOM REAL'!E145</f>
        <v>#N/A</v>
      </c>
      <c r="AM63" s="101" t="e">
        <f t="shared" si="87"/>
        <v>#N/A</v>
      </c>
    </row>
    <row r="64" spans="1:39" s="40" customFormat="1" ht="12.5" x14ac:dyDescent="0.25">
      <c r="A64" s="24">
        <f t="shared" si="41"/>
        <v>58</v>
      </c>
      <c r="B64" s="24"/>
      <c r="C64" s="24"/>
      <c r="D64" s="24"/>
      <c r="E64" s="24"/>
      <c r="F64" s="115">
        <f>'NOM REAL'!B146</f>
        <v>0</v>
      </c>
      <c r="G64" s="78" t="str">
        <f>NOMINA!C64</f>
        <v>Emp 058</v>
      </c>
      <c r="H64" s="117">
        <f t="shared" si="65"/>
        <v>31</v>
      </c>
      <c r="I64" s="78">
        <v>31</v>
      </c>
      <c r="J64" s="78">
        <v>0</v>
      </c>
      <c r="K64" s="78">
        <v>0</v>
      </c>
      <c r="L64" s="118">
        <f>'NOM REAL'!F146</f>
        <v>0</v>
      </c>
      <c r="M64" s="118">
        <f t="shared" si="66"/>
        <v>0</v>
      </c>
      <c r="N64" s="101">
        <f t="shared" si="67"/>
        <v>741.87</v>
      </c>
      <c r="O64" s="101">
        <f t="shared" si="68"/>
        <v>0</v>
      </c>
      <c r="P64" s="101">
        <f t="shared" si="69"/>
        <v>0</v>
      </c>
      <c r="Q64" s="101">
        <f t="shared" si="70"/>
        <v>0</v>
      </c>
      <c r="R64" s="101">
        <f t="shared" si="71"/>
        <v>0</v>
      </c>
      <c r="S64" s="101">
        <f t="shared" si="72"/>
        <v>0</v>
      </c>
      <c r="T64" s="101">
        <f t="shared" si="73"/>
        <v>0</v>
      </c>
      <c r="U64" s="101">
        <f t="shared" si="74"/>
        <v>741.87</v>
      </c>
      <c r="V64" s="119"/>
      <c r="W64" s="101">
        <f t="shared" si="75"/>
        <v>0</v>
      </c>
      <c r="X64" s="101" t="e">
        <f>+ROUND(H64*M64*(VLOOKUP(M64,TABLAS!$B$29:$D$35,3,1)+1.125%),2)</f>
        <v>#N/A</v>
      </c>
      <c r="Y64" s="101">
        <f t="shared" si="76"/>
        <v>0</v>
      </c>
      <c r="Z64" s="101" t="e">
        <f t="shared" si="77"/>
        <v>#N/A</v>
      </c>
      <c r="AA64" s="100"/>
      <c r="AB64" s="101">
        <f t="shared" si="78"/>
        <v>741.87</v>
      </c>
      <c r="AC64" s="101" t="e">
        <f t="shared" si="79"/>
        <v>#N/A</v>
      </c>
      <c r="AD64" s="101">
        <f t="shared" si="80"/>
        <v>0</v>
      </c>
      <c r="AE64" s="101" t="e">
        <f t="shared" si="81"/>
        <v>#N/A</v>
      </c>
      <c r="AF64" s="119"/>
      <c r="AG64" s="101" t="e">
        <f t="shared" si="82"/>
        <v>#N/A</v>
      </c>
      <c r="AH64" s="101" t="e">
        <f t="shared" si="83"/>
        <v>#N/A</v>
      </c>
      <c r="AI64" s="101" t="e">
        <f t="shared" si="84"/>
        <v>#N/A</v>
      </c>
      <c r="AJ64" s="101" t="e">
        <f t="shared" si="85"/>
        <v>#N/A</v>
      </c>
      <c r="AK64" s="101" t="e">
        <f t="shared" si="86"/>
        <v>#N/A</v>
      </c>
      <c r="AL64" s="120" t="e">
        <f>AM64*'NOM REAL'!E146</f>
        <v>#N/A</v>
      </c>
      <c r="AM64" s="101" t="e">
        <f t="shared" si="87"/>
        <v>#N/A</v>
      </c>
    </row>
    <row r="65" spans="1:39" s="40" customFormat="1" ht="12.5" x14ac:dyDescent="0.25">
      <c r="A65" s="24">
        <f t="shared" si="41"/>
        <v>59</v>
      </c>
      <c r="B65" s="24"/>
      <c r="C65" s="24"/>
      <c r="D65" s="24"/>
      <c r="E65" s="24"/>
      <c r="F65" s="115">
        <f>'NOM REAL'!B147</f>
        <v>0</v>
      </c>
      <c r="G65" s="78" t="str">
        <f>NOMINA!C65</f>
        <v>Emp 059</v>
      </c>
      <c r="H65" s="117">
        <f t="shared" si="65"/>
        <v>31</v>
      </c>
      <c r="I65" s="78">
        <v>31</v>
      </c>
      <c r="J65" s="78">
        <v>0</v>
      </c>
      <c r="K65" s="78">
        <v>0</v>
      </c>
      <c r="L65" s="118">
        <f>'NOM REAL'!F147</f>
        <v>0</v>
      </c>
      <c r="M65" s="118">
        <f t="shared" si="66"/>
        <v>0</v>
      </c>
      <c r="N65" s="101">
        <f t="shared" si="67"/>
        <v>741.87</v>
      </c>
      <c r="O65" s="101">
        <f t="shared" si="68"/>
        <v>0</v>
      </c>
      <c r="P65" s="101">
        <f t="shared" si="69"/>
        <v>0</v>
      </c>
      <c r="Q65" s="101">
        <f t="shared" si="70"/>
        <v>0</v>
      </c>
      <c r="R65" s="101">
        <f t="shared" si="71"/>
        <v>0</v>
      </c>
      <c r="S65" s="101">
        <f t="shared" si="72"/>
        <v>0</v>
      </c>
      <c r="T65" s="101">
        <f t="shared" si="73"/>
        <v>0</v>
      </c>
      <c r="U65" s="101">
        <f t="shared" si="74"/>
        <v>741.87</v>
      </c>
      <c r="V65" s="119"/>
      <c r="W65" s="101">
        <f t="shared" si="75"/>
        <v>0</v>
      </c>
      <c r="X65" s="101" t="e">
        <f>+ROUND(H65*M65*(VLOOKUP(M65,TABLAS!$B$29:$D$35,3,1)+1.125%),2)</f>
        <v>#N/A</v>
      </c>
      <c r="Y65" s="101">
        <f t="shared" si="76"/>
        <v>0</v>
      </c>
      <c r="Z65" s="101" t="e">
        <f t="shared" si="77"/>
        <v>#N/A</v>
      </c>
      <c r="AA65" s="100"/>
      <c r="AB65" s="101">
        <f t="shared" si="78"/>
        <v>741.87</v>
      </c>
      <c r="AC65" s="101" t="e">
        <f t="shared" si="79"/>
        <v>#N/A</v>
      </c>
      <c r="AD65" s="101">
        <f t="shared" si="80"/>
        <v>0</v>
      </c>
      <c r="AE65" s="101" t="e">
        <f t="shared" si="81"/>
        <v>#N/A</v>
      </c>
      <c r="AF65" s="119"/>
      <c r="AG65" s="101" t="e">
        <f t="shared" si="82"/>
        <v>#N/A</v>
      </c>
      <c r="AH65" s="101" t="e">
        <f t="shared" si="83"/>
        <v>#N/A</v>
      </c>
      <c r="AI65" s="101" t="e">
        <f t="shared" si="84"/>
        <v>#N/A</v>
      </c>
      <c r="AJ65" s="101" t="e">
        <f t="shared" si="85"/>
        <v>#N/A</v>
      </c>
      <c r="AK65" s="101" t="e">
        <f t="shared" si="86"/>
        <v>#N/A</v>
      </c>
      <c r="AL65" s="120" t="e">
        <f>AM65*'NOM REAL'!E147</f>
        <v>#N/A</v>
      </c>
      <c r="AM65" s="101" t="e">
        <f t="shared" si="87"/>
        <v>#N/A</v>
      </c>
    </row>
    <row r="66" spans="1:39" s="40" customFormat="1" ht="12.5" x14ac:dyDescent="0.25">
      <c r="A66" s="24">
        <f t="shared" si="41"/>
        <v>60</v>
      </c>
      <c r="B66" s="24"/>
      <c r="C66" s="24"/>
      <c r="D66" s="24"/>
      <c r="E66" s="24"/>
      <c r="F66" s="115">
        <f>'NOM REAL'!B148</f>
        <v>0</v>
      </c>
      <c r="G66" s="78" t="str">
        <f>NOMINA!C66</f>
        <v>Emp 060</v>
      </c>
      <c r="H66" s="117">
        <f t="shared" si="65"/>
        <v>31</v>
      </c>
      <c r="I66" s="78">
        <v>31</v>
      </c>
      <c r="J66" s="78">
        <v>0</v>
      </c>
      <c r="K66" s="78">
        <v>0</v>
      </c>
      <c r="L66" s="118">
        <f>'NOM REAL'!F148</f>
        <v>0</v>
      </c>
      <c r="M66" s="118">
        <f t="shared" si="66"/>
        <v>0</v>
      </c>
      <c r="N66" s="101">
        <f t="shared" si="67"/>
        <v>741.87</v>
      </c>
      <c r="O66" s="101">
        <f t="shared" si="68"/>
        <v>0</v>
      </c>
      <c r="P66" s="101">
        <f t="shared" si="69"/>
        <v>0</v>
      </c>
      <c r="Q66" s="101">
        <f t="shared" si="70"/>
        <v>0</v>
      </c>
      <c r="R66" s="101">
        <f t="shared" si="71"/>
        <v>0</v>
      </c>
      <c r="S66" s="101">
        <f t="shared" si="72"/>
        <v>0</v>
      </c>
      <c r="T66" s="101">
        <f t="shared" si="73"/>
        <v>0</v>
      </c>
      <c r="U66" s="101">
        <f t="shared" si="74"/>
        <v>741.87</v>
      </c>
      <c r="V66" s="119"/>
      <c r="W66" s="101">
        <f t="shared" si="75"/>
        <v>0</v>
      </c>
      <c r="X66" s="101" t="e">
        <f>+ROUND(H66*M66*(VLOOKUP(M66,TABLAS!$B$29:$D$35,3,1)+1.125%),2)</f>
        <v>#N/A</v>
      </c>
      <c r="Y66" s="101">
        <f t="shared" si="76"/>
        <v>0</v>
      </c>
      <c r="Z66" s="101" t="e">
        <f t="shared" si="77"/>
        <v>#N/A</v>
      </c>
      <c r="AA66" s="100"/>
      <c r="AB66" s="101">
        <f t="shared" si="78"/>
        <v>741.87</v>
      </c>
      <c r="AC66" s="101" t="e">
        <f t="shared" si="79"/>
        <v>#N/A</v>
      </c>
      <c r="AD66" s="101">
        <f t="shared" si="80"/>
        <v>0</v>
      </c>
      <c r="AE66" s="101" t="e">
        <f t="shared" si="81"/>
        <v>#N/A</v>
      </c>
      <c r="AF66" s="119"/>
      <c r="AG66" s="101" t="e">
        <f t="shared" si="82"/>
        <v>#N/A</v>
      </c>
      <c r="AH66" s="101" t="e">
        <f t="shared" si="83"/>
        <v>#N/A</v>
      </c>
      <c r="AI66" s="101" t="e">
        <f t="shared" si="84"/>
        <v>#N/A</v>
      </c>
      <c r="AJ66" s="101" t="e">
        <f t="shared" si="85"/>
        <v>#N/A</v>
      </c>
      <c r="AK66" s="101" t="e">
        <f t="shared" si="86"/>
        <v>#N/A</v>
      </c>
      <c r="AL66" s="120" t="e">
        <f>AM66*'NOM REAL'!E148</f>
        <v>#N/A</v>
      </c>
      <c r="AM66" s="101" t="e">
        <f t="shared" si="87"/>
        <v>#N/A</v>
      </c>
    </row>
    <row r="67" spans="1:39" s="40" customFormat="1" ht="12.5" x14ac:dyDescent="0.25">
      <c r="A67" s="24">
        <f t="shared" si="41"/>
        <v>61</v>
      </c>
      <c r="B67" s="24"/>
      <c r="C67" s="24"/>
      <c r="D67" s="24"/>
      <c r="E67" s="24"/>
      <c r="F67" s="115">
        <f>'NOM REAL'!B149</f>
        <v>0</v>
      </c>
      <c r="G67" s="78" t="str">
        <f>NOMINA!C67</f>
        <v>Emp 061</v>
      </c>
      <c r="H67" s="117">
        <f t="shared" si="65"/>
        <v>31</v>
      </c>
      <c r="I67" s="78">
        <v>31</v>
      </c>
      <c r="J67" s="78">
        <v>0</v>
      </c>
      <c r="K67" s="78">
        <v>0</v>
      </c>
      <c r="L67" s="118">
        <f>'NOM REAL'!F149</f>
        <v>0</v>
      </c>
      <c r="M67" s="118">
        <f t="shared" si="66"/>
        <v>0</v>
      </c>
      <c r="N67" s="101">
        <f t="shared" si="67"/>
        <v>741.87</v>
      </c>
      <c r="O67" s="101">
        <f t="shared" si="68"/>
        <v>0</v>
      </c>
      <c r="P67" s="101">
        <f t="shared" si="69"/>
        <v>0</v>
      </c>
      <c r="Q67" s="101">
        <f t="shared" si="70"/>
        <v>0</v>
      </c>
      <c r="R67" s="101">
        <f t="shared" si="71"/>
        <v>0</v>
      </c>
      <c r="S67" s="101">
        <f t="shared" si="72"/>
        <v>0</v>
      </c>
      <c r="T67" s="101">
        <f t="shared" si="73"/>
        <v>0</v>
      </c>
      <c r="U67" s="101">
        <f t="shared" si="74"/>
        <v>741.87</v>
      </c>
      <c r="V67" s="119"/>
      <c r="W67" s="101">
        <f t="shared" si="75"/>
        <v>0</v>
      </c>
      <c r="X67" s="101" t="e">
        <f>+ROUND(H67*M67*(VLOOKUP(M67,TABLAS!$B$29:$D$35,3,1)+1.125%),2)</f>
        <v>#N/A</v>
      </c>
      <c r="Y67" s="101">
        <f t="shared" si="76"/>
        <v>0</v>
      </c>
      <c r="Z67" s="101" t="e">
        <f t="shared" si="77"/>
        <v>#N/A</v>
      </c>
      <c r="AA67" s="100"/>
      <c r="AB67" s="101">
        <f t="shared" si="78"/>
        <v>741.87</v>
      </c>
      <c r="AC67" s="101" t="e">
        <f t="shared" si="79"/>
        <v>#N/A</v>
      </c>
      <c r="AD67" s="101">
        <f t="shared" si="80"/>
        <v>0</v>
      </c>
      <c r="AE67" s="101" t="e">
        <f t="shared" si="81"/>
        <v>#N/A</v>
      </c>
      <c r="AF67" s="119"/>
      <c r="AG67" s="101" t="e">
        <f t="shared" si="82"/>
        <v>#N/A</v>
      </c>
      <c r="AH67" s="101" t="e">
        <f t="shared" si="83"/>
        <v>#N/A</v>
      </c>
      <c r="AI67" s="101" t="e">
        <f t="shared" si="84"/>
        <v>#N/A</v>
      </c>
      <c r="AJ67" s="101" t="e">
        <f t="shared" si="85"/>
        <v>#N/A</v>
      </c>
      <c r="AK67" s="101" t="e">
        <f t="shared" si="86"/>
        <v>#N/A</v>
      </c>
      <c r="AL67" s="120" t="e">
        <f>AM67*'NOM REAL'!E149</f>
        <v>#N/A</v>
      </c>
      <c r="AM67" s="101" t="e">
        <f t="shared" si="87"/>
        <v>#N/A</v>
      </c>
    </row>
    <row r="68" spans="1:39" s="40" customFormat="1" ht="12.5" x14ac:dyDescent="0.25">
      <c r="A68" s="24">
        <f t="shared" si="41"/>
        <v>62</v>
      </c>
      <c r="B68" s="24"/>
      <c r="C68" s="24"/>
      <c r="D68" s="24"/>
      <c r="E68" s="24"/>
      <c r="F68" s="115">
        <f>'NOM REAL'!B150</f>
        <v>0</v>
      </c>
      <c r="G68" s="78" t="str">
        <f>NOMINA!C68</f>
        <v>Emp 062</v>
      </c>
      <c r="H68" s="117">
        <f t="shared" si="65"/>
        <v>31</v>
      </c>
      <c r="I68" s="78">
        <v>31</v>
      </c>
      <c r="J68" s="78">
        <v>0</v>
      </c>
      <c r="K68" s="78">
        <v>0</v>
      </c>
      <c r="L68" s="118">
        <f>'NOM REAL'!F150</f>
        <v>0</v>
      </c>
      <c r="M68" s="118">
        <f t="shared" si="66"/>
        <v>0</v>
      </c>
      <c r="N68" s="101">
        <f t="shared" si="67"/>
        <v>741.87</v>
      </c>
      <c r="O68" s="101">
        <f t="shared" si="68"/>
        <v>0</v>
      </c>
      <c r="P68" s="101">
        <f t="shared" si="69"/>
        <v>0</v>
      </c>
      <c r="Q68" s="101">
        <f t="shared" si="70"/>
        <v>0</v>
      </c>
      <c r="R68" s="101">
        <f t="shared" si="71"/>
        <v>0</v>
      </c>
      <c r="S68" s="101">
        <f t="shared" si="72"/>
        <v>0</v>
      </c>
      <c r="T68" s="101">
        <f t="shared" si="73"/>
        <v>0</v>
      </c>
      <c r="U68" s="101">
        <f t="shared" si="74"/>
        <v>741.87</v>
      </c>
      <c r="V68" s="119"/>
      <c r="W68" s="101">
        <f t="shared" si="75"/>
        <v>0</v>
      </c>
      <c r="X68" s="101" t="e">
        <f>+ROUND(H68*M68*(VLOOKUP(M68,TABLAS!$B$29:$D$35,3,1)+1.125%),2)</f>
        <v>#N/A</v>
      </c>
      <c r="Y68" s="101">
        <f t="shared" si="76"/>
        <v>0</v>
      </c>
      <c r="Z68" s="101" t="e">
        <f t="shared" si="77"/>
        <v>#N/A</v>
      </c>
      <c r="AA68" s="100"/>
      <c r="AB68" s="101">
        <f t="shared" si="78"/>
        <v>741.87</v>
      </c>
      <c r="AC68" s="101" t="e">
        <f t="shared" si="79"/>
        <v>#N/A</v>
      </c>
      <c r="AD68" s="101">
        <f t="shared" si="80"/>
        <v>0</v>
      </c>
      <c r="AE68" s="101" t="e">
        <f t="shared" si="81"/>
        <v>#N/A</v>
      </c>
      <c r="AF68" s="119"/>
      <c r="AG68" s="101" t="e">
        <f t="shared" si="82"/>
        <v>#N/A</v>
      </c>
      <c r="AH68" s="101" t="e">
        <f t="shared" si="83"/>
        <v>#N/A</v>
      </c>
      <c r="AI68" s="101" t="e">
        <f t="shared" si="84"/>
        <v>#N/A</v>
      </c>
      <c r="AJ68" s="101" t="e">
        <f t="shared" si="85"/>
        <v>#N/A</v>
      </c>
      <c r="AK68" s="101" t="e">
        <f t="shared" si="86"/>
        <v>#N/A</v>
      </c>
      <c r="AL68" s="120" t="e">
        <f>AM68*'NOM REAL'!E150</f>
        <v>#N/A</v>
      </c>
      <c r="AM68" s="101" t="e">
        <f t="shared" si="87"/>
        <v>#N/A</v>
      </c>
    </row>
    <row r="69" spans="1:39" s="40" customFormat="1" ht="12.5" x14ac:dyDescent="0.25">
      <c r="A69" s="24">
        <f t="shared" si="41"/>
        <v>63</v>
      </c>
      <c r="B69" s="24"/>
      <c r="C69" s="24"/>
      <c r="D69" s="24"/>
      <c r="E69" s="24"/>
      <c r="F69" s="115">
        <f>'NOM REAL'!B151</f>
        <v>0</v>
      </c>
      <c r="G69" s="78" t="str">
        <f>NOMINA!C69</f>
        <v>Emp 063</v>
      </c>
      <c r="H69" s="117">
        <f t="shared" si="65"/>
        <v>31</v>
      </c>
      <c r="I69" s="78">
        <v>31</v>
      </c>
      <c r="J69" s="78">
        <v>0</v>
      </c>
      <c r="K69" s="78">
        <v>0</v>
      </c>
      <c r="L69" s="118">
        <f>'NOM REAL'!F151</f>
        <v>0</v>
      </c>
      <c r="M69" s="118">
        <f t="shared" si="66"/>
        <v>0</v>
      </c>
      <c r="N69" s="101">
        <f t="shared" si="67"/>
        <v>741.87</v>
      </c>
      <c r="O69" s="101">
        <f t="shared" si="68"/>
        <v>0</v>
      </c>
      <c r="P69" s="101">
        <f t="shared" si="69"/>
        <v>0</v>
      </c>
      <c r="Q69" s="101">
        <f t="shared" si="70"/>
        <v>0</v>
      </c>
      <c r="R69" s="101">
        <f t="shared" si="71"/>
        <v>0</v>
      </c>
      <c r="S69" s="101">
        <f t="shared" si="72"/>
        <v>0</v>
      </c>
      <c r="T69" s="101">
        <f t="shared" si="73"/>
        <v>0</v>
      </c>
      <c r="U69" s="101">
        <f t="shared" si="74"/>
        <v>741.87</v>
      </c>
      <c r="V69" s="119"/>
      <c r="W69" s="101">
        <f t="shared" si="75"/>
        <v>0</v>
      </c>
      <c r="X69" s="101" t="e">
        <f>+ROUND(H69*M69*(VLOOKUP(M69,TABLAS!$B$29:$D$35,3,1)+1.125%),2)</f>
        <v>#N/A</v>
      </c>
      <c r="Y69" s="101">
        <f t="shared" si="76"/>
        <v>0</v>
      </c>
      <c r="Z69" s="101" t="e">
        <f t="shared" si="77"/>
        <v>#N/A</v>
      </c>
      <c r="AA69" s="100"/>
      <c r="AB69" s="101">
        <f t="shared" si="78"/>
        <v>741.87</v>
      </c>
      <c r="AC69" s="101" t="e">
        <f t="shared" si="79"/>
        <v>#N/A</v>
      </c>
      <c r="AD69" s="101">
        <f t="shared" si="80"/>
        <v>0</v>
      </c>
      <c r="AE69" s="101" t="e">
        <f t="shared" si="81"/>
        <v>#N/A</v>
      </c>
      <c r="AF69" s="119"/>
      <c r="AG69" s="101" t="e">
        <f t="shared" si="82"/>
        <v>#N/A</v>
      </c>
      <c r="AH69" s="101" t="e">
        <f t="shared" si="83"/>
        <v>#N/A</v>
      </c>
      <c r="AI69" s="101" t="e">
        <f t="shared" si="84"/>
        <v>#N/A</v>
      </c>
      <c r="AJ69" s="101" t="e">
        <f t="shared" si="85"/>
        <v>#N/A</v>
      </c>
      <c r="AK69" s="101" t="e">
        <f t="shared" si="86"/>
        <v>#N/A</v>
      </c>
      <c r="AL69" s="120" t="e">
        <f>AM69*'NOM REAL'!E151</f>
        <v>#N/A</v>
      </c>
      <c r="AM69" s="101" t="e">
        <f t="shared" si="87"/>
        <v>#N/A</v>
      </c>
    </row>
    <row r="70" spans="1:39" s="40" customFormat="1" ht="12.5" x14ac:dyDescent="0.25">
      <c r="A70" s="24">
        <f t="shared" si="41"/>
        <v>64</v>
      </c>
      <c r="B70" s="24"/>
      <c r="C70" s="24"/>
      <c r="D70" s="24"/>
      <c r="E70" s="24"/>
      <c r="F70" s="115">
        <f>'NOM REAL'!B152</f>
        <v>0</v>
      </c>
      <c r="G70" s="78" t="str">
        <f>NOMINA!C70</f>
        <v>Emp 064</v>
      </c>
      <c r="H70" s="117">
        <f t="shared" si="65"/>
        <v>31</v>
      </c>
      <c r="I70" s="78">
        <v>31</v>
      </c>
      <c r="J70" s="78">
        <v>0</v>
      </c>
      <c r="K70" s="78">
        <v>0</v>
      </c>
      <c r="L70" s="118">
        <f>'NOM REAL'!F152</f>
        <v>0</v>
      </c>
      <c r="M70" s="118">
        <f t="shared" si="66"/>
        <v>0</v>
      </c>
      <c r="N70" s="101">
        <f t="shared" si="67"/>
        <v>741.87</v>
      </c>
      <c r="O70" s="101">
        <f t="shared" si="68"/>
        <v>0</v>
      </c>
      <c r="P70" s="101">
        <f t="shared" si="69"/>
        <v>0</v>
      </c>
      <c r="Q70" s="101">
        <f t="shared" si="70"/>
        <v>0</v>
      </c>
      <c r="R70" s="101">
        <f t="shared" si="71"/>
        <v>0</v>
      </c>
      <c r="S70" s="101">
        <f t="shared" si="72"/>
        <v>0</v>
      </c>
      <c r="T70" s="101">
        <f t="shared" si="73"/>
        <v>0</v>
      </c>
      <c r="U70" s="101">
        <f t="shared" si="74"/>
        <v>741.87</v>
      </c>
      <c r="V70" s="119"/>
      <c r="W70" s="101">
        <f t="shared" si="75"/>
        <v>0</v>
      </c>
      <c r="X70" s="101" t="e">
        <f>+ROUND(H70*M70*(VLOOKUP(M70,TABLAS!$B$29:$D$35,3,1)+1.125%),2)</f>
        <v>#N/A</v>
      </c>
      <c r="Y70" s="101">
        <f t="shared" si="76"/>
        <v>0</v>
      </c>
      <c r="Z70" s="101" t="e">
        <f t="shared" si="77"/>
        <v>#N/A</v>
      </c>
      <c r="AA70" s="100"/>
      <c r="AB70" s="101">
        <f t="shared" si="78"/>
        <v>741.87</v>
      </c>
      <c r="AC70" s="101" t="e">
        <f t="shared" si="79"/>
        <v>#N/A</v>
      </c>
      <c r="AD70" s="101">
        <f t="shared" si="80"/>
        <v>0</v>
      </c>
      <c r="AE70" s="101" t="e">
        <f t="shared" si="81"/>
        <v>#N/A</v>
      </c>
      <c r="AF70" s="119"/>
      <c r="AG70" s="101" t="e">
        <f t="shared" si="82"/>
        <v>#N/A</v>
      </c>
      <c r="AH70" s="101" t="e">
        <f t="shared" si="83"/>
        <v>#N/A</v>
      </c>
      <c r="AI70" s="101" t="e">
        <f t="shared" si="84"/>
        <v>#N/A</v>
      </c>
      <c r="AJ70" s="101" t="e">
        <f t="shared" si="85"/>
        <v>#N/A</v>
      </c>
      <c r="AK70" s="101" t="e">
        <f t="shared" si="86"/>
        <v>#N/A</v>
      </c>
      <c r="AL70" s="120" t="e">
        <f>AM70*'NOM REAL'!E152</f>
        <v>#N/A</v>
      </c>
      <c r="AM70" s="101" t="e">
        <f t="shared" si="87"/>
        <v>#N/A</v>
      </c>
    </row>
    <row r="71" spans="1:39" s="40" customFormat="1" ht="12.5" x14ac:dyDescent="0.25">
      <c r="A71" s="24">
        <f t="shared" si="41"/>
        <v>65</v>
      </c>
      <c r="B71" s="24"/>
      <c r="C71" s="24"/>
      <c r="D71" s="24"/>
      <c r="E71" s="24"/>
      <c r="F71" s="115">
        <f>'NOM REAL'!B153</f>
        <v>0</v>
      </c>
      <c r="G71" s="78" t="str">
        <f>NOMINA!C71</f>
        <v>Emp 065</v>
      </c>
      <c r="H71" s="117">
        <f t="shared" si="65"/>
        <v>31</v>
      </c>
      <c r="I71" s="78">
        <v>31</v>
      </c>
      <c r="J71" s="78">
        <v>0</v>
      </c>
      <c r="K71" s="78">
        <v>0</v>
      </c>
      <c r="L71" s="118">
        <f>'NOM REAL'!F153</f>
        <v>0</v>
      </c>
      <c r="M71" s="118">
        <f t="shared" si="66"/>
        <v>0</v>
      </c>
      <c r="N71" s="101">
        <f t="shared" si="67"/>
        <v>741.87</v>
      </c>
      <c r="O71" s="101">
        <f t="shared" si="68"/>
        <v>0</v>
      </c>
      <c r="P71" s="101">
        <f t="shared" si="69"/>
        <v>0</v>
      </c>
      <c r="Q71" s="101">
        <f t="shared" si="70"/>
        <v>0</v>
      </c>
      <c r="R71" s="101">
        <f t="shared" si="71"/>
        <v>0</v>
      </c>
      <c r="S71" s="101">
        <f t="shared" si="72"/>
        <v>0</v>
      </c>
      <c r="T71" s="101">
        <f t="shared" si="73"/>
        <v>0</v>
      </c>
      <c r="U71" s="101">
        <f t="shared" si="74"/>
        <v>741.87</v>
      </c>
      <c r="V71" s="119"/>
      <c r="W71" s="101">
        <f t="shared" si="75"/>
        <v>0</v>
      </c>
      <c r="X71" s="101" t="e">
        <f>+ROUND(H71*M71*(VLOOKUP(M71,TABLAS!$B$29:$D$35,3,1)+1.125%),2)</f>
        <v>#N/A</v>
      </c>
      <c r="Y71" s="101">
        <f t="shared" si="76"/>
        <v>0</v>
      </c>
      <c r="Z71" s="101" t="e">
        <f t="shared" si="77"/>
        <v>#N/A</v>
      </c>
      <c r="AA71" s="100"/>
      <c r="AB71" s="101">
        <f t="shared" si="78"/>
        <v>741.87</v>
      </c>
      <c r="AC71" s="101" t="e">
        <f t="shared" si="79"/>
        <v>#N/A</v>
      </c>
      <c r="AD71" s="101">
        <f t="shared" si="80"/>
        <v>0</v>
      </c>
      <c r="AE71" s="101" t="e">
        <f t="shared" si="81"/>
        <v>#N/A</v>
      </c>
      <c r="AF71" s="119"/>
      <c r="AG71" s="101" t="e">
        <f t="shared" si="82"/>
        <v>#N/A</v>
      </c>
      <c r="AH71" s="101" t="e">
        <f t="shared" si="83"/>
        <v>#N/A</v>
      </c>
      <c r="AI71" s="101" t="e">
        <f t="shared" si="84"/>
        <v>#N/A</v>
      </c>
      <c r="AJ71" s="101" t="e">
        <f t="shared" si="85"/>
        <v>#N/A</v>
      </c>
      <c r="AK71" s="101" t="e">
        <f t="shared" si="86"/>
        <v>#N/A</v>
      </c>
      <c r="AL71" s="120" t="e">
        <f>AM71*'NOM REAL'!E153</f>
        <v>#N/A</v>
      </c>
      <c r="AM71" s="101" t="e">
        <f t="shared" si="87"/>
        <v>#N/A</v>
      </c>
    </row>
    <row r="72" spans="1:39" s="40" customFormat="1" ht="12.5" x14ac:dyDescent="0.25">
      <c r="A72" s="24">
        <f t="shared" si="41"/>
        <v>66</v>
      </c>
      <c r="B72" s="24"/>
      <c r="C72" s="24"/>
      <c r="D72" s="24"/>
      <c r="E72" s="24"/>
      <c r="F72" s="115">
        <f>'NOM REAL'!B154</f>
        <v>0</v>
      </c>
      <c r="G72" s="78" t="str">
        <f>NOMINA!C72</f>
        <v>Emp 066</v>
      </c>
      <c r="H72" s="117">
        <f t="shared" si="65"/>
        <v>31</v>
      </c>
      <c r="I72" s="78">
        <v>31</v>
      </c>
      <c r="J72" s="78">
        <v>0</v>
      </c>
      <c r="K72" s="78">
        <v>0</v>
      </c>
      <c r="L72" s="118">
        <f>'NOM REAL'!F154</f>
        <v>0</v>
      </c>
      <c r="M72" s="118">
        <f t="shared" si="66"/>
        <v>0</v>
      </c>
      <c r="N72" s="101">
        <f t="shared" si="67"/>
        <v>741.87</v>
      </c>
      <c r="O72" s="101">
        <f t="shared" si="68"/>
        <v>0</v>
      </c>
      <c r="P72" s="101">
        <f t="shared" si="69"/>
        <v>0</v>
      </c>
      <c r="Q72" s="101">
        <f t="shared" si="70"/>
        <v>0</v>
      </c>
      <c r="R72" s="101">
        <f t="shared" si="71"/>
        <v>0</v>
      </c>
      <c r="S72" s="101">
        <f t="shared" si="72"/>
        <v>0</v>
      </c>
      <c r="T72" s="101">
        <f t="shared" si="73"/>
        <v>0</v>
      </c>
      <c r="U72" s="101">
        <f t="shared" si="74"/>
        <v>741.87</v>
      </c>
      <c r="V72" s="119"/>
      <c r="W72" s="101">
        <f t="shared" si="75"/>
        <v>0</v>
      </c>
      <c r="X72" s="101" t="e">
        <f>+ROUND(H72*M72*(VLOOKUP(M72,TABLAS!$B$29:$D$35,3,1)+1.125%),2)</f>
        <v>#N/A</v>
      </c>
      <c r="Y72" s="101">
        <f t="shared" si="76"/>
        <v>0</v>
      </c>
      <c r="Z72" s="101" t="e">
        <f t="shared" si="77"/>
        <v>#N/A</v>
      </c>
      <c r="AA72" s="100"/>
      <c r="AB72" s="101">
        <f t="shared" si="78"/>
        <v>741.87</v>
      </c>
      <c r="AC72" s="101" t="e">
        <f t="shared" si="79"/>
        <v>#N/A</v>
      </c>
      <c r="AD72" s="101">
        <f t="shared" si="80"/>
        <v>0</v>
      </c>
      <c r="AE72" s="101" t="e">
        <f t="shared" si="81"/>
        <v>#N/A</v>
      </c>
      <c r="AF72" s="119"/>
      <c r="AG72" s="101" t="e">
        <f t="shared" si="82"/>
        <v>#N/A</v>
      </c>
      <c r="AH72" s="101" t="e">
        <f t="shared" si="83"/>
        <v>#N/A</v>
      </c>
      <c r="AI72" s="101" t="e">
        <f t="shared" si="84"/>
        <v>#N/A</v>
      </c>
      <c r="AJ72" s="101" t="e">
        <f t="shared" si="85"/>
        <v>#N/A</v>
      </c>
      <c r="AK72" s="101" t="e">
        <f t="shared" si="86"/>
        <v>#N/A</v>
      </c>
      <c r="AL72" s="120" t="e">
        <f>AM72*'NOM REAL'!E154</f>
        <v>#N/A</v>
      </c>
      <c r="AM72" s="101" t="e">
        <f t="shared" si="87"/>
        <v>#N/A</v>
      </c>
    </row>
    <row r="73" spans="1:39" s="40" customFormat="1" ht="12.5" x14ac:dyDescent="0.25">
      <c r="A73" s="24">
        <f t="shared" ref="A73:A104" si="88">A72+1</f>
        <v>67</v>
      </c>
      <c r="B73" s="24"/>
      <c r="C73" s="24"/>
      <c r="D73" s="24"/>
      <c r="E73" s="24"/>
      <c r="F73" s="115">
        <f>'NOM REAL'!B155</f>
        <v>0</v>
      </c>
      <c r="G73" s="78" t="str">
        <f>NOMINA!C73</f>
        <v>Emp 067</v>
      </c>
      <c r="H73" s="117">
        <f t="shared" si="65"/>
        <v>31</v>
      </c>
      <c r="I73" s="78">
        <v>31</v>
      </c>
      <c r="J73" s="78">
        <v>0</v>
      </c>
      <c r="K73" s="78">
        <v>0</v>
      </c>
      <c r="L73" s="118">
        <f>'NOM REAL'!F155</f>
        <v>0</v>
      </c>
      <c r="M73" s="118">
        <f t="shared" si="66"/>
        <v>0</v>
      </c>
      <c r="N73" s="101">
        <f t="shared" si="67"/>
        <v>741.87</v>
      </c>
      <c r="O73" s="101">
        <f t="shared" si="68"/>
        <v>0</v>
      </c>
      <c r="P73" s="101">
        <f t="shared" si="69"/>
        <v>0</v>
      </c>
      <c r="Q73" s="101">
        <f t="shared" si="70"/>
        <v>0</v>
      </c>
      <c r="R73" s="101">
        <f t="shared" si="71"/>
        <v>0</v>
      </c>
      <c r="S73" s="101">
        <f t="shared" si="72"/>
        <v>0</v>
      </c>
      <c r="T73" s="101">
        <f t="shared" si="73"/>
        <v>0</v>
      </c>
      <c r="U73" s="101">
        <f t="shared" si="74"/>
        <v>741.87</v>
      </c>
      <c r="V73" s="119"/>
      <c r="W73" s="101">
        <f t="shared" si="75"/>
        <v>0</v>
      </c>
      <c r="X73" s="101" t="e">
        <f>+ROUND(H73*M73*(VLOOKUP(M73,TABLAS!$B$29:$D$35,3,1)+1.125%),2)</f>
        <v>#N/A</v>
      </c>
      <c r="Y73" s="101">
        <f t="shared" si="76"/>
        <v>0</v>
      </c>
      <c r="Z73" s="101" t="e">
        <f t="shared" si="77"/>
        <v>#N/A</v>
      </c>
      <c r="AA73" s="100"/>
      <c r="AB73" s="101">
        <f t="shared" si="78"/>
        <v>741.87</v>
      </c>
      <c r="AC73" s="101" t="e">
        <f t="shared" si="79"/>
        <v>#N/A</v>
      </c>
      <c r="AD73" s="101">
        <f t="shared" si="80"/>
        <v>0</v>
      </c>
      <c r="AE73" s="101" t="e">
        <f t="shared" si="81"/>
        <v>#N/A</v>
      </c>
      <c r="AF73" s="119"/>
      <c r="AG73" s="101" t="e">
        <f t="shared" si="82"/>
        <v>#N/A</v>
      </c>
      <c r="AH73" s="101" t="e">
        <f t="shared" si="83"/>
        <v>#N/A</v>
      </c>
      <c r="AI73" s="101" t="e">
        <f t="shared" si="84"/>
        <v>#N/A</v>
      </c>
      <c r="AJ73" s="101" t="e">
        <f t="shared" si="85"/>
        <v>#N/A</v>
      </c>
      <c r="AK73" s="101" t="e">
        <f t="shared" si="86"/>
        <v>#N/A</v>
      </c>
      <c r="AL73" s="120" t="e">
        <f>AM73*'NOM REAL'!E155</f>
        <v>#N/A</v>
      </c>
      <c r="AM73" s="101" t="e">
        <f t="shared" si="87"/>
        <v>#N/A</v>
      </c>
    </row>
    <row r="74" spans="1:39" s="40" customFormat="1" ht="12.5" x14ac:dyDescent="0.25">
      <c r="A74" s="24">
        <f t="shared" si="88"/>
        <v>68</v>
      </c>
      <c r="B74" s="24"/>
      <c r="C74" s="24"/>
      <c r="D74" s="24"/>
      <c r="E74" s="24"/>
      <c r="F74" s="115">
        <f>'NOM REAL'!B156</f>
        <v>0</v>
      </c>
      <c r="G74" s="78" t="str">
        <f>NOMINA!C74</f>
        <v>Emp 068</v>
      </c>
      <c r="H74" s="117">
        <f t="shared" si="65"/>
        <v>31</v>
      </c>
      <c r="I74" s="78">
        <v>31</v>
      </c>
      <c r="J74" s="78">
        <v>0</v>
      </c>
      <c r="K74" s="78">
        <v>0</v>
      </c>
      <c r="L74" s="118">
        <f>'NOM REAL'!F156</f>
        <v>0</v>
      </c>
      <c r="M74" s="118">
        <f t="shared" si="66"/>
        <v>0</v>
      </c>
      <c r="N74" s="101">
        <f t="shared" si="67"/>
        <v>741.87</v>
      </c>
      <c r="O74" s="101">
        <f t="shared" si="68"/>
        <v>0</v>
      </c>
      <c r="P74" s="101">
        <f t="shared" si="69"/>
        <v>0</v>
      </c>
      <c r="Q74" s="101">
        <f t="shared" si="70"/>
        <v>0</v>
      </c>
      <c r="R74" s="101">
        <f t="shared" si="71"/>
        <v>0</v>
      </c>
      <c r="S74" s="101">
        <f t="shared" si="72"/>
        <v>0</v>
      </c>
      <c r="T74" s="101">
        <f t="shared" si="73"/>
        <v>0</v>
      </c>
      <c r="U74" s="101">
        <f t="shared" si="74"/>
        <v>741.87</v>
      </c>
      <c r="V74" s="119"/>
      <c r="W74" s="101">
        <f t="shared" si="75"/>
        <v>0</v>
      </c>
      <c r="X74" s="101" t="e">
        <f>+ROUND(H74*M74*(VLOOKUP(M74,TABLAS!$B$29:$D$35,3,1)+1.125%),2)</f>
        <v>#N/A</v>
      </c>
      <c r="Y74" s="101">
        <f t="shared" si="76"/>
        <v>0</v>
      </c>
      <c r="Z74" s="101" t="e">
        <f t="shared" si="77"/>
        <v>#N/A</v>
      </c>
      <c r="AA74" s="100"/>
      <c r="AB74" s="101">
        <f t="shared" si="78"/>
        <v>741.87</v>
      </c>
      <c r="AC74" s="101" t="e">
        <f t="shared" si="79"/>
        <v>#N/A</v>
      </c>
      <c r="AD74" s="101">
        <f t="shared" si="80"/>
        <v>0</v>
      </c>
      <c r="AE74" s="101" t="e">
        <f t="shared" si="81"/>
        <v>#N/A</v>
      </c>
      <c r="AF74" s="119"/>
      <c r="AG74" s="101" t="e">
        <f t="shared" si="82"/>
        <v>#N/A</v>
      </c>
      <c r="AH74" s="101" t="e">
        <f t="shared" si="83"/>
        <v>#N/A</v>
      </c>
      <c r="AI74" s="101" t="e">
        <f t="shared" si="84"/>
        <v>#N/A</v>
      </c>
      <c r="AJ74" s="101" t="e">
        <f t="shared" si="85"/>
        <v>#N/A</v>
      </c>
      <c r="AK74" s="101" t="e">
        <f t="shared" si="86"/>
        <v>#N/A</v>
      </c>
      <c r="AL74" s="120" t="e">
        <f>AM74*'NOM REAL'!E156</f>
        <v>#N/A</v>
      </c>
      <c r="AM74" s="101" t="e">
        <f t="shared" si="87"/>
        <v>#N/A</v>
      </c>
    </row>
    <row r="75" spans="1:39" s="40" customFormat="1" ht="12.5" x14ac:dyDescent="0.25">
      <c r="A75" s="24">
        <f t="shared" si="88"/>
        <v>69</v>
      </c>
      <c r="B75" s="24"/>
      <c r="C75" s="24"/>
      <c r="D75" s="24"/>
      <c r="E75" s="24"/>
      <c r="F75" s="115">
        <f>'NOM REAL'!B157</f>
        <v>0</v>
      </c>
      <c r="G75" s="78" t="str">
        <f>NOMINA!C75</f>
        <v>Emp 069</v>
      </c>
      <c r="H75" s="117">
        <f t="shared" si="65"/>
        <v>31</v>
      </c>
      <c r="I75" s="78">
        <v>31</v>
      </c>
      <c r="J75" s="78">
        <v>0</v>
      </c>
      <c r="K75" s="78">
        <v>0</v>
      </c>
      <c r="L75" s="118">
        <f>'NOM REAL'!F157</f>
        <v>0</v>
      </c>
      <c r="M75" s="118">
        <f t="shared" si="66"/>
        <v>0</v>
      </c>
      <c r="N75" s="101">
        <f t="shared" si="67"/>
        <v>741.87</v>
      </c>
      <c r="O75" s="101">
        <f t="shared" si="68"/>
        <v>0</v>
      </c>
      <c r="P75" s="101">
        <f t="shared" si="69"/>
        <v>0</v>
      </c>
      <c r="Q75" s="101">
        <f t="shared" si="70"/>
        <v>0</v>
      </c>
      <c r="R75" s="101">
        <f t="shared" si="71"/>
        <v>0</v>
      </c>
      <c r="S75" s="101">
        <f t="shared" si="72"/>
        <v>0</v>
      </c>
      <c r="T75" s="101">
        <f t="shared" si="73"/>
        <v>0</v>
      </c>
      <c r="U75" s="101">
        <f t="shared" si="74"/>
        <v>741.87</v>
      </c>
      <c r="V75" s="119"/>
      <c r="W75" s="101">
        <f t="shared" si="75"/>
        <v>0</v>
      </c>
      <c r="X75" s="101" t="e">
        <f>+ROUND(H75*M75*(VLOOKUP(M75,TABLAS!$B$29:$D$35,3,1)+1.125%),2)</f>
        <v>#N/A</v>
      </c>
      <c r="Y75" s="101">
        <f t="shared" si="76"/>
        <v>0</v>
      </c>
      <c r="Z75" s="101" t="e">
        <f t="shared" si="77"/>
        <v>#N/A</v>
      </c>
      <c r="AA75" s="100"/>
      <c r="AB75" s="101">
        <f t="shared" si="78"/>
        <v>741.87</v>
      </c>
      <c r="AC75" s="101" t="e">
        <f t="shared" si="79"/>
        <v>#N/A</v>
      </c>
      <c r="AD75" s="101">
        <f t="shared" si="80"/>
        <v>0</v>
      </c>
      <c r="AE75" s="101" t="e">
        <f t="shared" si="81"/>
        <v>#N/A</v>
      </c>
      <c r="AF75" s="119"/>
      <c r="AG75" s="101" t="e">
        <f t="shared" si="82"/>
        <v>#N/A</v>
      </c>
      <c r="AH75" s="101" t="e">
        <f t="shared" si="83"/>
        <v>#N/A</v>
      </c>
      <c r="AI75" s="101" t="e">
        <f t="shared" si="84"/>
        <v>#N/A</v>
      </c>
      <c r="AJ75" s="101" t="e">
        <f t="shared" si="85"/>
        <v>#N/A</v>
      </c>
      <c r="AK75" s="101" t="e">
        <f t="shared" si="86"/>
        <v>#N/A</v>
      </c>
      <c r="AL75" s="120" t="e">
        <f>AM75*'NOM REAL'!E157</f>
        <v>#N/A</v>
      </c>
      <c r="AM75" s="101" t="e">
        <f t="shared" si="87"/>
        <v>#N/A</v>
      </c>
    </row>
    <row r="76" spans="1:39" s="40" customFormat="1" ht="12.5" x14ac:dyDescent="0.25">
      <c r="A76" s="24">
        <f t="shared" si="88"/>
        <v>70</v>
      </c>
      <c r="B76" s="24"/>
      <c r="C76" s="24"/>
      <c r="D76" s="24"/>
      <c r="E76" s="24"/>
      <c r="F76" s="115">
        <f>'NOM REAL'!B158</f>
        <v>0</v>
      </c>
      <c r="G76" s="78" t="str">
        <f>NOMINA!C76</f>
        <v>Emp 070</v>
      </c>
      <c r="H76" s="117">
        <f t="shared" si="65"/>
        <v>31</v>
      </c>
      <c r="I76" s="78">
        <v>31</v>
      </c>
      <c r="J76" s="78">
        <v>0</v>
      </c>
      <c r="K76" s="78">
        <v>0</v>
      </c>
      <c r="L76" s="118">
        <f>'NOM REAL'!F158</f>
        <v>0</v>
      </c>
      <c r="M76" s="118">
        <f t="shared" si="66"/>
        <v>0</v>
      </c>
      <c r="N76" s="101">
        <f t="shared" si="67"/>
        <v>741.87</v>
      </c>
      <c r="O76" s="101">
        <f t="shared" si="68"/>
        <v>0</v>
      </c>
      <c r="P76" s="101">
        <f t="shared" si="69"/>
        <v>0</v>
      </c>
      <c r="Q76" s="101">
        <f t="shared" si="70"/>
        <v>0</v>
      </c>
      <c r="R76" s="101">
        <f t="shared" si="71"/>
        <v>0</v>
      </c>
      <c r="S76" s="101">
        <f t="shared" si="72"/>
        <v>0</v>
      </c>
      <c r="T76" s="101">
        <f t="shared" si="73"/>
        <v>0</v>
      </c>
      <c r="U76" s="101">
        <f t="shared" si="74"/>
        <v>741.87</v>
      </c>
      <c r="V76" s="119"/>
      <c r="W76" s="101">
        <f t="shared" si="75"/>
        <v>0</v>
      </c>
      <c r="X76" s="101" t="e">
        <f>+ROUND(H76*M76*(VLOOKUP(M76,TABLAS!$B$29:$D$35,3,1)+1.125%),2)</f>
        <v>#N/A</v>
      </c>
      <c r="Y76" s="101">
        <f t="shared" si="76"/>
        <v>0</v>
      </c>
      <c r="Z76" s="101" t="e">
        <f t="shared" si="77"/>
        <v>#N/A</v>
      </c>
      <c r="AA76" s="100"/>
      <c r="AB76" s="101">
        <f t="shared" si="78"/>
        <v>741.87</v>
      </c>
      <c r="AC76" s="101" t="e">
        <f t="shared" si="79"/>
        <v>#N/A</v>
      </c>
      <c r="AD76" s="101">
        <f t="shared" si="80"/>
        <v>0</v>
      </c>
      <c r="AE76" s="101" t="e">
        <f t="shared" si="81"/>
        <v>#N/A</v>
      </c>
      <c r="AF76" s="119"/>
      <c r="AG76" s="101" t="e">
        <f t="shared" si="82"/>
        <v>#N/A</v>
      </c>
      <c r="AH76" s="101" t="e">
        <f t="shared" si="83"/>
        <v>#N/A</v>
      </c>
      <c r="AI76" s="101" t="e">
        <f t="shared" si="84"/>
        <v>#N/A</v>
      </c>
      <c r="AJ76" s="101" t="e">
        <f t="shared" si="85"/>
        <v>#N/A</v>
      </c>
      <c r="AK76" s="101" t="e">
        <f t="shared" si="86"/>
        <v>#N/A</v>
      </c>
      <c r="AL76" s="120" t="e">
        <f>AM76*'NOM REAL'!E158</f>
        <v>#N/A</v>
      </c>
      <c r="AM76" s="101" t="e">
        <f t="shared" si="87"/>
        <v>#N/A</v>
      </c>
    </row>
    <row r="77" spans="1:39" s="40" customFormat="1" ht="12.5" x14ac:dyDescent="0.25">
      <c r="A77" s="24">
        <f t="shared" si="88"/>
        <v>71</v>
      </c>
      <c r="B77" s="24"/>
      <c r="C77" s="24"/>
      <c r="D77" s="24"/>
      <c r="E77" s="24"/>
      <c r="F77" s="115">
        <f>'NOM REAL'!B159</f>
        <v>0</v>
      </c>
      <c r="G77" s="78" t="str">
        <f>NOMINA!C77</f>
        <v>Emp 071</v>
      </c>
      <c r="H77" s="117">
        <f t="shared" si="65"/>
        <v>31</v>
      </c>
      <c r="I77" s="78">
        <v>31</v>
      </c>
      <c r="J77" s="78">
        <v>0</v>
      </c>
      <c r="K77" s="78">
        <v>0</v>
      </c>
      <c r="L77" s="118">
        <f>'NOM REAL'!F159</f>
        <v>0</v>
      </c>
      <c r="M77" s="118">
        <f t="shared" si="66"/>
        <v>0</v>
      </c>
      <c r="N77" s="101">
        <f t="shared" si="67"/>
        <v>741.87</v>
      </c>
      <c r="O77" s="101">
        <f t="shared" si="68"/>
        <v>0</v>
      </c>
      <c r="P77" s="101">
        <f t="shared" si="69"/>
        <v>0</v>
      </c>
      <c r="Q77" s="101">
        <f t="shared" si="70"/>
        <v>0</v>
      </c>
      <c r="R77" s="101">
        <f t="shared" si="71"/>
        <v>0</v>
      </c>
      <c r="S77" s="101">
        <f t="shared" si="72"/>
        <v>0</v>
      </c>
      <c r="T77" s="101">
        <f t="shared" si="73"/>
        <v>0</v>
      </c>
      <c r="U77" s="101">
        <f t="shared" si="74"/>
        <v>741.87</v>
      </c>
      <c r="V77" s="119"/>
      <c r="W77" s="101">
        <f t="shared" si="75"/>
        <v>0</v>
      </c>
      <c r="X77" s="101" t="e">
        <f>+ROUND(H77*M77*(VLOOKUP(M77,TABLAS!$B$29:$D$35,3,1)+1.125%),2)</f>
        <v>#N/A</v>
      </c>
      <c r="Y77" s="101">
        <f t="shared" si="76"/>
        <v>0</v>
      </c>
      <c r="Z77" s="101" t="e">
        <f t="shared" si="77"/>
        <v>#N/A</v>
      </c>
      <c r="AA77" s="100"/>
      <c r="AB77" s="101">
        <f t="shared" si="78"/>
        <v>741.87</v>
      </c>
      <c r="AC77" s="101" t="e">
        <f t="shared" si="79"/>
        <v>#N/A</v>
      </c>
      <c r="AD77" s="101">
        <f t="shared" si="80"/>
        <v>0</v>
      </c>
      <c r="AE77" s="101" t="e">
        <f t="shared" si="81"/>
        <v>#N/A</v>
      </c>
      <c r="AF77" s="119"/>
      <c r="AG77" s="101" t="e">
        <f t="shared" si="82"/>
        <v>#N/A</v>
      </c>
      <c r="AH77" s="101" t="e">
        <f t="shared" si="83"/>
        <v>#N/A</v>
      </c>
      <c r="AI77" s="101" t="e">
        <f t="shared" si="84"/>
        <v>#N/A</v>
      </c>
      <c r="AJ77" s="101" t="e">
        <f t="shared" si="85"/>
        <v>#N/A</v>
      </c>
      <c r="AK77" s="101" t="e">
        <f t="shared" si="86"/>
        <v>#N/A</v>
      </c>
      <c r="AL77" s="120" t="e">
        <f>AM77*'NOM REAL'!E159</f>
        <v>#N/A</v>
      </c>
      <c r="AM77" s="101" t="e">
        <f t="shared" si="87"/>
        <v>#N/A</v>
      </c>
    </row>
    <row r="78" spans="1:39" s="40" customFormat="1" ht="12.5" x14ac:dyDescent="0.25">
      <c r="A78" s="24">
        <f t="shared" si="88"/>
        <v>72</v>
      </c>
      <c r="B78" s="24"/>
      <c r="C78" s="24"/>
      <c r="D78" s="24"/>
      <c r="E78" s="24"/>
      <c r="F78" s="115">
        <f>'NOM REAL'!B160</f>
        <v>0</v>
      </c>
      <c r="G78" s="78" t="str">
        <f>NOMINA!C78</f>
        <v>Emp 072</v>
      </c>
      <c r="H78" s="117">
        <f t="shared" si="65"/>
        <v>31</v>
      </c>
      <c r="I78" s="78">
        <v>31</v>
      </c>
      <c r="J78" s="78">
        <v>0</v>
      </c>
      <c r="K78" s="78">
        <v>0</v>
      </c>
      <c r="L78" s="118">
        <f>'NOM REAL'!F160</f>
        <v>0</v>
      </c>
      <c r="M78" s="118">
        <f t="shared" si="66"/>
        <v>0</v>
      </c>
      <c r="N78" s="101">
        <f t="shared" si="67"/>
        <v>741.87</v>
      </c>
      <c r="O78" s="101">
        <f t="shared" si="68"/>
        <v>0</v>
      </c>
      <c r="P78" s="101">
        <f t="shared" si="69"/>
        <v>0</v>
      </c>
      <c r="Q78" s="101">
        <f t="shared" si="70"/>
        <v>0</v>
      </c>
      <c r="R78" s="101">
        <f t="shared" si="71"/>
        <v>0</v>
      </c>
      <c r="S78" s="101">
        <f t="shared" si="72"/>
        <v>0</v>
      </c>
      <c r="T78" s="101">
        <f t="shared" si="73"/>
        <v>0</v>
      </c>
      <c r="U78" s="101">
        <f t="shared" si="74"/>
        <v>741.87</v>
      </c>
      <c r="V78" s="119"/>
      <c r="W78" s="101">
        <f t="shared" si="75"/>
        <v>0</v>
      </c>
      <c r="X78" s="101" t="e">
        <f>+ROUND(H78*M78*(VLOOKUP(M78,TABLAS!$B$29:$D$35,3,1)+1.125%),2)</f>
        <v>#N/A</v>
      </c>
      <c r="Y78" s="101">
        <f t="shared" si="76"/>
        <v>0</v>
      </c>
      <c r="Z78" s="101" t="e">
        <f t="shared" si="77"/>
        <v>#N/A</v>
      </c>
      <c r="AA78" s="100"/>
      <c r="AB78" s="101">
        <f t="shared" si="78"/>
        <v>741.87</v>
      </c>
      <c r="AC78" s="101" t="e">
        <f t="shared" si="79"/>
        <v>#N/A</v>
      </c>
      <c r="AD78" s="101">
        <f t="shared" si="80"/>
        <v>0</v>
      </c>
      <c r="AE78" s="101" t="e">
        <f t="shared" si="81"/>
        <v>#N/A</v>
      </c>
      <c r="AF78" s="119"/>
      <c r="AG78" s="101" t="e">
        <f t="shared" si="82"/>
        <v>#N/A</v>
      </c>
      <c r="AH78" s="101" t="e">
        <f t="shared" si="83"/>
        <v>#N/A</v>
      </c>
      <c r="AI78" s="101" t="e">
        <f t="shared" si="84"/>
        <v>#N/A</v>
      </c>
      <c r="AJ78" s="101" t="e">
        <f t="shared" si="85"/>
        <v>#N/A</v>
      </c>
      <c r="AK78" s="101" t="e">
        <f t="shared" si="86"/>
        <v>#N/A</v>
      </c>
      <c r="AL78" s="120" t="e">
        <f>AM78*'NOM REAL'!E160</f>
        <v>#N/A</v>
      </c>
      <c r="AM78" s="101" t="e">
        <f t="shared" si="87"/>
        <v>#N/A</v>
      </c>
    </row>
    <row r="79" spans="1:39" s="40" customFormat="1" ht="12.5" x14ac:dyDescent="0.25">
      <c r="A79" s="24">
        <f t="shared" si="88"/>
        <v>73</v>
      </c>
      <c r="B79" s="24"/>
      <c r="C79" s="24"/>
      <c r="D79" s="24"/>
      <c r="E79" s="24"/>
      <c r="F79" s="115">
        <f>'NOM REAL'!B161</f>
        <v>0</v>
      </c>
      <c r="G79" s="78" t="str">
        <f>NOMINA!C79</f>
        <v>Emp 073</v>
      </c>
      <c r="H79" s="117">
        <f t="shared" si="65"/>
        <v>31</v>
      </c>
      <c r="I79" s="78">
        <v>31</v>
      </c>
      <c r="J79" s="78">
        <v>0</v>
      </c>
      <c r="K79" s="78">
        <v>0</v>
      </c>
      <c r="L79" s="118">
        <f>'NOM REAL'!F161</f>
        <v>0</v>
      </c>
      <c r="M79" s="118">
        <f t="shared" si="66"/>
        <v>0</v>
      </c>
      <c r="N79" s="101">
        <f t="shared" si="67"/>
        <v>741.87</v>
      </c>
      <c r="O79" s="101">
        <f t="shared" si="68"/>
        <v>0</v>
      </c>
      <c r="P79" s="101">
        <f t="shared" si="69"/>
        <v>0</v>
      </c>
      <c r="Q79" s="101">
        <f t="shared" si="70"/>
        <v>0</v>
      </c>
      <c r="R79" s="101">
        <f t="shared" si="71"/>
        <v>0</v>
      </c>
      <c r="S79" s="101">
        <f t="shared" si="72"/>
        <v>0</v>
      </c>
      <c r="T79" s="101">
        <f t="shared" si="73"/>
        <v>0</v>
      </c>
      <c r="U79" s="101">
        <f t="shared" si="74"/>
        <v>741.87</v>
      </c>
      <c r="V79" s="119"/>
      <c r="W79" s="101">
        <f t="shared" si="75"/>
        <v>0</v>
      </c>
      <c r="X79" s="101" t="e">
        <f>+ROUND(H79*M79*(VLOOKUP(M79,TABLAS!$B$29:$D$35,3,1)+1.125%),2)</f>
        <v>#N/A</v>
      </c>
      <c r="Y79" s="101">
        <f t="shared" si="76"/>
        <v>0</v>
      </c>
      <c r="Z79" s="101" t="e">
        <f t="shared" si="77"/>
        <v>#N/A</v>
      </c>
      <c r="AA79" s="100"/>
      <c r="AB79" s="101">
        <f t="shared" si="78"/>
        <v>741.87</v>
      </c>
      <c r="AC79" s="101" t="e">
        <f t="shared" si="79"/>
        <v>#N/A</v>
      </c>
      <c r="AD79" s="101">
        <f t="shared" si="80"/>
        <v>0</v>
      </c>
      <c r="AE79" s="101" t="e">
        <f t="shared" si="81"/>
        <v>#N/A</v>
      </c>
      <c r="AF79" s="119"/>
      <c r="AG79" s="101" t="e">
        <f t="shared" si="82"/>
        <v>#N/A</v>
      </c>
      <c r="AH79" s="101" t="e">
        <f t="shared" si="83"/>
        <v>#N/A</v>
      </c>
      <c r="AI79" s="101" t="e">
        <f t="shared" si="84"/>
        <v>#N/A</v>
      </c>
      <c r="AJ79" s="101" t="e">
        <f t="shared" si="85"/>
        <v>#N/A</v>
      </c>
      <c r="AK79" s="101" t="e">
        <f t="shared" si="86"/>
        <v>#N/A</v>
      </c>
      <c r="AL79" s="120" t="e">
        <f>AM79*'NOM REAL'!E161</f>
        <v>#N/A</v>
      </c>
      <c r="AM79" s="101" t="e">
        <f t="shared" si="87"/>
        <v>#N/A</v>
      </c>
    </row>
    <row r="80" spans="1:39" s="40" customFormat="1" ht="12.5" x14ac:dyDescent="0.25">
      <c r="A80" s="24">
        <f t="shared" si="88"/>
        <v>74</v>
      </c>
      <c r="B80" s="24"/>
      <c r="C80" s="24"/>
      <c r="D80" s="24"/>
      <c r="E80" s="24"/>
      <c r="F80" s="115">
        <f>'NOM REAL'!B162</f>
        <v>0</v>
      </c>
      <c r="G80" s="78" t="str">
        <f>NOMINA!C80</f>
        <v>Emp 074</v>
      </c>
      <c r="H80" s="117">
        <f t="shared" si="65"/>
        <v>31</v>
      </c>
      <c r="I80" s="78">
        <v>31</v>
      </c>
      <c r="J80" s="78">
        <v>0</v>
      </c>
      <c r="K80" s="78">
        <v>0</v>
      </c>
      <c r="L80" s="118">
        <f>'NOM REAL'!F162</f>
        <v>0</v>
      </c>
      <c r="M80" s="118">
        <f t="shared" si="66"/>
        <v>0</v>
      </c>
      <c r="N80" s="101">
        <f t="shared" si="67"/>
        <v>741.87</v>
      </c>
      <c r="O80" s="101">
        <f t="shared" si="68"/>
        <v>0</v>
      </c>
      <c r="P80" s="101">
        <f t="shared" si="69"/>
        <v>0</v>
      </c>
      <c r="Q80" s="101">
        <f t="shared" si="70"/>
        <v>0</v>
      </c>
      <c r="R80" s="101">
        <f t="shared" si="71"/>
        <v>0</v>
      </c>
      <c r="S80" s="101">
        <f t="shared" si="72"/>
        <v>0</v>
      </c>
      <c r="T80" s="101">
        <f t="shared" si="73"/>
        <v>0</v>
      </c>
      <c r="U80" s="101">
        <f t="shared" si="74"/>
        <v>741.87</v>
      </c>
      <c r="V80" s="119"/>
      <c r="W80" s="101">
        <f t="shared" si="75"/>
        <v>0</v>
      </c>
      <c r="X80" s="101" t="e">
        <f>+ROUND(H80*M80*(VLOOKUP(M80,TABLAS!$B$29:$D$35,3,1)+1.125%),2)</f>
        <v>#N/A</v>
      </c>
      <c r="Y80" s="101">
        <f t="shared" si="76"/>
        <v>0</v>
      </c>
      <c r="Z80" s="101" t="e">
        <f t="shared" si="77"/>
        <v>#N/A</v>
      </c>
      <c r="AA80" s="100"/>
      <c r="AB80" s="101">
        <f t="shared" si="78"/>
        <v>741.87</v>
      </c>
      <c r="AC80" s="101" t="e">
        <f t="shared" si="79"/>
        <v>#N/A</v>
      </c>
      <c r="AD80" s="101">
        <f t="shared" si="80"/>
        <v>0</v>
      </c>
      <c r="AE80" s="101" t="e">
        <f t="shared" si="81"/>
        <v>#N/A</v>
      </c>
      <c r="AF80" s="119"/>
      <c r="AG80" s="101" t="e">
        <f t="shared" si="82"/>
        <v>#N/A</v>
      </c>
      <c r="AH80" s="101" t="e">
        <f t="shared" si="83"/>
        <v>#N/A</v>
      </c>
      <c r="AI80" s="101" t="e">
        <f t="shared" si="84"/>
        <v>#N/A</v>
      </c>
      <c r="AJ80" s="101" t="e">
        <f t="shared" si="85"/>
        <v>#N/A</v>
      </c>
      <c r="AK80" s="101" t="e">
        <f t="shared" si="86"/>
        <v>#N/A</v>
      </c>
      <c r="AL80" s="120" t="e">
        <f>AM80*'NOM REAL'!E162</f>
        <v>#N/A</v>
      </c>
      <c r="AM80" s="101" t="e">
        <f t="shared" si="87"/>
        <v>#N/A</v>
      </c>
    </row>
    <row r="81" spans="1:39" s="40" customFormat="1" ht="12.5" x14ac:dyDescent="0.25">
      <c r="A81" s="24">
        <f t="shared" si="88"/>
        <v>75</v>
      </c>
      <c r="B81" s="24"/>
      <c r="C81" s="24"/>
      <c r="D81" s="24"/>
      <c r="E81" s="24"/>
      <c r="F81" s="115">
        <f>'NOM REAL'!B163</f>
        <v>0</v>
      </c>
      <c r="G81" s="78" t="str">
        <f>NOMINA!C81</f>
        <v>Emp 075</v>
      </c>
      <c r="H81" s="117">
        <f t="shared" si="65"/>
        <v>31</v>
      </c>
      <c r="I81" s="78">
        <v>31</v>
      </c>
      <c r="J81" s="78">
        <v>0</v>
      </c>
      <c r="K81" s="78">
        <v>0</v>
      </c>
      <c r="L81" s="118">
        <f>'NOM REAL'!F163</f>
        <v>0</v>
      </c>
      <c r="M81" s="118">
        <f t="shared" si="66"/>
        <v>0</v>
      </c>
      <c r="N81" s="101">
        <f t="shared" si="67"/>
        <v>741.87</v>
      </c>
      <c r="O81" s="101">
        <f t="shared" si="68"/>
        <v>0</v>
      </c>
      <c r="P81" s="101">
        <f t="shared" si="69"/>
        <v>0</v>
      </c>
      <c r="Q81" s="101">
        <f t="shared" si="70"/>
        <v>0</v>
      </c>
      <c r="R81" s="101">
        <f t="shared" si="71"/>
        <v>0</v>
      </c>
      <c r="S81" s="101">
        <f t="shared" si="72"/>
        <v>0</v>
      </c>
      <c r="T81" s="101">
        <f t="shared" si="73"/>
        <v>0</v>
      </c>
      <c r="U81" s="101">
        <f t="shared" si="74"/>
        <v>741.87</v>
      </c>
      <c r="V81" s="119"/>
      <c r="W81" s="101">
        <f t="shared" si="75"/>
        <v>0</v>
      </c>
      <c r="X81" s="101" t="e">
        <f>+ROUND(H81*M81*(VLOOKUP(M81,TABLAS!$B$29:$D$35,3,1)+1.125%),2)</f>
        <v>#N/A</v>
      </c>
      <c r="Y81" s="101">
        <f t="shared" si="76"/>
        <v>0</v>
      </c>
      <c r="Z81" s="101" t="e">
        <f t="shared" si="77"/>
        <v>#N/A</v>
      </c>
      <c r="AA81" s="100"/>
      <c r="AB81" s="101">
        <f t="shared" si="78"/>
        <v>741.87</v>
      </c>
      <c r="AC81" s="101" t="e">
        <f t="shared" si="79"/>
        <v>#N/A</v>
      </c>
      <c r="AD81" s="101">
        <f t="shared" si="80"/>
        <v>0</v>
      </c>
      <c r="AE81" s="101" t="e">
        <f t="shared" si="81"/>
        <v>#N/A</v>
      </c>
      <c r="AF81" s="119"/>
      <c r="AG81" s="101" t="e">
        <f t="shared" si="82"/>
        <v>#N/A</v>
      </c>
      <c r="AH81" s="101" t="e">
        <f t="shared" si="83"/>
        <v>#N/A</v>
      </c>
      <c r="AI81" s="101" t="e">
        <f t="shared" si="84"/>
        <v>#N/A</v>
      </c>
      <c r="AJ81" s="101" t="e">
        <f t="shared" si="85"/>
        <v>#N/A</v>
      </c>
      <c r="AK81" s="101" t="e">
        <f t="shared" si="86"/>
        <v>#N/A</v>
      </c>
      <c r="AL81" s="120" t="e">
        <f>AM81*'NOM REAL'!E163</f>
        <v>#N/A</v>
      </c>
      <c r="AM81" s="101" t="e">
        <f t="shared" si="87"/>
        <v>#N/A</v>
      </c>
    </row>
    <row r="82" spans="1:39" s="40" customFormat="1" ht="12.5" x14ac:dyDescent="0.25">
      <c r="A82" s="24">
        <f t="shared" si="88"/>
        <v>76</v>
      </c>
      <c r="B82" s="24"/>
      <c r="C82" s="24"/>
      <c r="D82" s="24"/>
      <c r="E82" s="24"/>
      <c r="F82" s="115">
        <f>'NOM REAL'!B164</f>
        <v>0</v>
      </c>
      <c r="G82" s="78" t="str">
        <f>NOMINA!C82</f>
        <v>Emp 076</v>
      </c>
      <c r="H82" s="117">
        <f t="shared" si="65"/>
        <v>31</v>
      </c>
      <c r="I82" s="78">
        <v>31</v>
      </c>
      <c r="J82" s="78">
        <v>0</v>
      </c>
      <c r="K82" s="78">
        <v>0</v>
      </c>
      <c r="L82" s="118">
        <f>'NOM REAL'!F164</f>
        <v>0</v>
      </c>
      <c r="M82" s="118">
        <f t="shared" si="66"/>
        <v>0</v>
      </c>
      <c r="N82" s="101">
        <f t="shared" si="67"/>
        <v>741.87</v>
      </c>
      <c r="O82" s="101">
        <f t="shared" si="68"/>
        <v>0</v>
      </c>
      <c r="P82" s="101">
        <f t="shared" si="69"/>
        <v>0</v>
      </c>
      <c r="Q82" s="101">
        <f t="shared" si="70"/>
        <v>0</v>
      </c>
      <c r="R82" s="101">
        <f t="shared" si="71"/>
        <v>0</v>
      </c>
      <c r="S82" s="101">
        <f t="shared" si="72"/>
        <v>0</v>
      </c>
      <c r="T82" s="101">
        <f t="shared" si="73"/>
        <v>0</v>
      </c>
      <c r="U82" s="101">
        <f t="shared" si="74"/>
        <v>741.87</v>
      </c>
      <c r="V82" s="119"/>
      <c r="W82" s="101">
        <f t="shared" si="75"/>
        <v>0</v>
      </c>
      <c r="X82" s="101" t="e">
        <f>+ROUND(H82*M82*(VLOOKUP(M82,TABLAS!$B$29:$D$35,3,1)+1.125%),2)</f>
        <v>#N/A</v>
      </c>
      <c r="Y82" s="101">
        <f t="shared" si="76"/>
        <v>0</v>
      </c>
      <c r="Z82" s="101" t="e">
        <f t="shared" si="77"/>
        <v>#N/A</v>
      </c>
      <c r="AA82" s="100"/>
      <c r="AB82" s="101">
        <f t="shared" si="78"/>
        <v>741.87</v>
      </c>
      <c r="AC82" s="101" t="e">
        <f t="shared" si="79"/>
        <v>#N/A</v>
      </c>
      <c r="AD82" s="101">
        <f t="shared" si="80"/>
        <v>0</v>
      </c>
      <c r="AE82" s="101" t="e">
        <f t="shared" si="81"/>
        <v>#N/A</v>
      </c>
      <c r="AF82" s="119"/>
      <c r="AG82" s="101" t="e">
        <f t="shared" si="82"/>
        <v>#N/A</v>
      </c>
      <c r="AH82" s="101" t="e">
        <f t="shared" si="83"/>
        <v>#N/A</v>
      </c>
      <c r="AI82" s="101" t="e">
        <f t="shared" si="84"/>
        <v>#N/A</v>
      </c>
      <c r="AJ82" s="101" t="e">
        <f t="shared" si="85"/>
        <v>#N/A</v>
      </c>
      <c r="AK82" s="101" t="e">
        <f t="shared" si="86"/>
        <v>#N/A</v>
      </c>
      <c r="AL82" s="120" t="e">
        <f>AM82*'NOM REAL'!E164</f>
        <v>#N/A</v>
      </c>
      <c r="AM82" s="101" t="e">
        <f t="shared" si="87"/>
        <v>#N/A</v>
      </c>
    </row>
    <row r="83" spans="1:39" s="40" customFormat="1" ht="12.5" x14ac:dyDescent="0.25">
      <c r="A83" s="24">
        <f t="shared" si="88"/>
        <v>77</v>
      </c>
      <c r="B83" s="24"/>
      <c r="C83" s="24"/>
      <c r="D83" s="24"/>
      <c r="E83" s="24"/>
      <c r="F83" s="115">
        <f>'NOM REAL'!B165</f>
        <v>0</v>
      </c>
      <c r="G83" s="78" t="str">
        <f>NOMINA!C83</f>
        <v>Emp 077</v>
      </c>
      <c r="H83" s="117">
        <f t="shared" si="65"/>
        <v>31</v>
      </c>
      <c r="I83" s="78">
        <v>31</v>
      </c>
      <c r="J83" s="78">
        <v>0</v>
      </c>
      <c r="K83" s="78">
        <v>0</v>
      </c>
      <c r="L83" s="118">
        <f>'NOM REAL'!F165</f>
        <v>0</v>
      </c>
      <c r="M83" s="118">
        <f t="shared" si="66"/>
        <v>0</v>
      </c>
      <c r="N83" s="101">
        <f t="shared" si="67"/>
        <v>741.87</v>
      </c>
      <c r="O83" s="101">
        <f t="shared" si="68"/>
        <v>0</v>
      </c>
      <c r="P83" s="101">
        <f t="shared" si="69"/>
        <v>0</v>
      </c>
      <c r="Q83" s="101">
        <f t="shared" si="70"/>
        <v>0</v>
      </c>
      <c r="R83" s="101">
        <f t="shared" si="71"/>
        <v>0</v>
      </c>
      <c r="S83" s="101">
        <f t="shared" si="72"/>
        <v>0</v>
      </c>
      <c r="T83" s="101">
        <f t="shared" si="73"/>
        <v>0</v>
      </c>
      <c r="U83" s="101">
        <f t="shared" si="74"/>
        <v>741.87</v>
      </c>
      <c r="V83" s="119"/>
      <c r="W83" s="101">
        <f t="shared" si="75"/>
        <v>0</v>
      </c>
      <c r="X83" s="101" t="e">
        <f>+ROUND(H83*M83*(VLOOKUP(M83,TABLAS!$B$29:$D$35,3,1)+1.125%),2)</f>
        <v>#N/A</v>
      </c>
      <c r="Y83" s="101">
        <f t="shared" si="76"/>
        <v>0</v>
      </c>
      <c r="Z83" s="101" t="e">
        <f t="shared" si="77"/>
        <v>#N/A</v>
      </c>
      <c r="AA83" s="100"/>
      <c r="AB83" s="101">
        <f t="shared" si="78"/>
        <v>741.87</v>
      </c>
      <c r="AC83" s="101" t="e">
        <f t="shared" si="79"/>
        <v>#N/A</v>
      </c>
      <c r="AD83" s="101">
        <f t="shared" si="80"/>
        <v>0</v>
      </c>
      <c r="AE83" s="101" t="e">
        <f t="shared" si="81"/>
        <v>#N/A</v>
      </c>
      <c r="AF83" s="119"/>
      <c r="AG83" s="101" t="e">
        <f t="shared" si="82"/>
        <v>#N/A</v>
      </c>
      <c r="AH83" s="101" t="e">
        <f t="shared" si="83"/>
        <v>#N/A</v>
      </c>
      <c r="AI83" s="101" t="e">
        <f t="shared" si="84"/>
        <v>#N/A</v>
      </c>
      <c r="AJ83" s="101" t="e">
        <f t="shared" si="85"/>
        <v>#N/A</v>
      </c>
      <c r="AK83" s="101" t="e">
        <f t="shared" si="86"/>
        <v>#N/A</v>
      </c>
      <c r="AL83" s="120" t="e">
        <f>AM83*'NOM REAL'!E165</f>
        <v>#N/A</v>
      </c>
      <c r="AM83" s="101" t="e">
        <f t="shared" si="87"/>
        <v>#N/A</v>
      </c>
    </row>
    <row r="84" spans="1:39" s="40" customFormat="1" ht="12.5" x14ac:dyDescent="0.25">
      <c r="A84" s="24">
        <f t="shared" si="88"/>
        <v>78</v>
      </c>
      <c r="B84" s="24"/>
      <c r="C84" s="24"/>
      <c r="D84" s="24"/>
      <c r="E84" s="24"/>
      <c r="F84" s="115">
        <f>'NOM REAL'!B166</f>
        <v>0</v>
      </c>
      <c r="G84" s="78" t="str">
        <f>NOMINA!C84</f>
        <v>Emp 078</v>
      </c>
      <c r="H84" s="117">
        <f t="shared" si="65"/>
        <v>31</v>
      </c>
      <c r="I84" s="78">
        <v>31</v>
      </c>
      <c r="J84" s="78">
        <v>0</v>
      </c>
      <c r="K84" s="78">
        <v>0</v>
      </c>
      <c r="L84" s="118">
        <f>'NOM REAL'!F166</f>
        <v>0</v>
      </c>
      <c r="M84" s="118">
        <f t="shared" si="66"/>
        <v>0</v>
      </c>
      <c r="N84" s="101">
        <f t="shared" si="67"/>
        <v>741.87</v>
      </c>
      <c r="O84" s="101">
        <f t="shared" si="68"/>
        <v>0</v>
      </c>
      <c r="P84" s="101">
        <f t="shared" si="69"/>
        <v>0</v>
      </c>
      <c r="Q84" s="101">
        <f t="shared" si="70"/>
        <v>0</v>
      </c>
      <c r="R84" s="101">
        <f t="shared" si="71"/>
        <v>0</v>
      </c>
      <c r="S84" s="101">
        <f t="shared" si="72"/>
        <v>0</v>
      </c>
      <c r="T84" s="101">
        <f t="shared" si="73"/>
        <v>0</v>
      </c>
      <c r="U84" s="101">
        <f t="shared" si="74"/>
        <v>741.87</v>
      </c>
      <c r="V84" s="119"/>
      <c r="W84" s="101">
        <f t="shared" si="75"/>
        <v>0</v>
      </c>
      <c r="X84" s="101" t="e">
        <f>+ROUND(H84*M84*(VLOOKUP(M84,TABLAS!$B$29:$D$35,3,1)+1.125%),2)</f>
        <v>#N/A</v>
      </c>
      <c r="Y84" s="101">
        <f t="shared" si="76"/>
        <v>0</v>
      </c>
      <c r="Z84" s="101" t="e">
        <f t="shared" si="77"/>
        <v>#N/A</v>
      </c>
      <c r="AA84" s="100"/>
      <c r="AB84" s="101">
        <f t="shared" si="78"/>
        <v>741.87</v>
      </c>
      <c r="AC84" s="101" t="e">
        <f t="shared" si="79"/>
        <v>#N/A</v>
      </c>
      <c r="AD84" s="101">
        <f t="shared" si="80"/>
        <v>0</v>
      </c>
      <c r="AE84" s="101" t="e">
        <f t="shared" si="81"/>
        <v>#N/A</v>
      </c>
      <c r="AF84" s="119"/>
      <c r="AG84" s="101" t="e">
        <f t="shared" si="82"/>
        <v>#N/A</v>
      </c>
      <c r="AH84" s="101" t="e">
        <f t="shared" si="83"/>
        <v>#N/A</v>
      </c>
      <c r="AI84" s="101" t="e">
        <f t="shared" si="84"/>
        <v>#N/A</v>
      </c>
      <c r="AJ84" s="101" t="e">
        <f t="shared" si="85"/>
        <v>#N/A</v>
      </c>
      <c r="AK84" s="101" t="e">
        <f t="shared" si="86"/>
        <v>#N/A</v>
      </c>
      <c r="AL84" s="120" t="e">
        <f>AM84*'NOM REAL'!E166</f>
        <v>#N/A</v>
      </c>
      <c r="AM84" s="101" t="e">
        <f t="shared" si="87"/>
        <v>#N/A</v>
      </c>
    </row>
    <row r="85" spans="1:39" s="40" customFormat="1" ht="12.5" x14ac:dyDescent="0.25">
      <c r="A85" s="24">
        <f t="shared" si="88"/>
        <v>79</v>
      </c>
      <c r="B85" s="24"/>
      <c r="C85" s="24"/>
      <c r="D85" s="24"/>
      <c r="E85" s="24"/>
      <c r="F85" s="115">
        <f>'NOM REAL'!B167</f>
        <v>0</v>
      </c>
      <c r="G85" s="78" t="str">
        <f>NOMINA!C85</f>
        <v>Emp 079</v>
      </c>
      <c r="H85" s="117">
        <f t="shared" si="65"/>
        <v>31</v>
      </c>
      <c r="I85" s="78">
        <v>31</v>
      </c>
      <c r="J85" s="78">
        <v>0</v>
      </c>
      <c r="K85" s="78">
        <v>0</v>
      </c>
      <c r="L85" s="118">
        <f>'NOM REAL'!F167</f>
        <v>0</v>
      </c>
      <c r="M85" s="118">
        <f t="shared" si="66"/>
        <v>0</v>
      </c>
      <c r="N85" s="101">
        <f t="shared" si="67"/>
        <v>741.87</v>
      </c>
      <c r="O85" s="101">
        <f t="shared" si="68"/>
        <v>0</v>
      </c>
      <c r="P85" s="101">
        <f t="shared" si="69"/>
        <v>0</v>
      </c>
      <c r="Q85" s="101">
        <f t="shared" si="70"/>
        <v>0</v>
      </c>
      <c r="R85" s="101">
        <f t="shared" si="71"/>
        <v>0</v>
      </c>
      <c r="S85" s="101">
        <f t="shared" si="72"/>
        <v>0</v>
      </c>
      <c r="T85" s="101">
        <f t="shared" si="73"/>
        <v>0</v>
      </c>
      <c r="U85" s="101">
        <f t="shared" si="74"/>
        <v>741.87</v>
      </c>
      <c r="V85" s="119"/>
      <c r="W85" s="101">
        <f t="shared" si="75"/>
        <v>0</v>
      </c>
      <c r="X85" s="101" t="e">
        <f>+ROUND(H85*M85*(VLOOKUP(M85,TABLAS!$B$29:$D$35,3,1)+1.125%),2)</f>
        <v>#N/A</v>
      </c>
      <c r="Y85" s="101">
        <f t="shared" si="76"/>
        <v>0</v>
      </c>
      <c r="Z85" s="101" t="e">
        <f t="shared" si="77"/>
        <v>#N/A</v>
      </c>
      <c r="AA85" s="100"/>
      <c r="AB85" s="101">
        <f t="shared" si="78"/>
        <v>741.87</v>
      </c>
      <c r="AC85" s="101" t="e">
        <f t="shared" si="79"/>
        <v>#N/A</v>
      </c>
      <c r="AD85" s="101">
        <f t="shared" si="80"/>
        <v>0</v>
      </c>
      <c r="AE85" s="101" t="e">
        <f t="shared" si="81"/>
        <v>#N/A</v>
      </c>
      <c r="AF85" s="119"/>
      <c r="AG85" s="101" t="e">
        <f t="shared" si="82"/>
        <v>#N/A</v>
      </c>
      <c r="AH85" s="101" t="e">
        <f t="shared" si="83"/>
        <v>#N/A</v>
      </c>
      <c r="AI85" s="101" t="e">
        <f t="shared" si="84"/>
        <v>#N/A</v>
      </c>
      <c r="AJ85" s="101" t="e">
        <f t="shared" si="85"/>
        <v>#N/A</v>
      </c>
      <c r="AK85" s="101" t="e">
        <f t="shared" si="86"/>
        <v>#N/A</v>
      </c>
      <c r="AL85" s="120" t="e">
        <f>AM85*'NOM REAL'!E167</f>
        <v>#N/A</v>
      </c>
      <c r="AM85" s="101" t="e">
        <f t="shared" si="87"/>
        <v>#N/A</v>
      </c>
    </row>
    <row r="86" spans="1:39" s="40" customFormat="1" ht="12.5" x14ac:dyDescent="0.25">
      <c r="A86" s="24">
        <f t="shared" si="88"/>
        <v>80</v>
      </c>
      <c r="B86" s="24"/>
      <c r="C86" s="24"/>
      <c r="D86" s="24"/>
      <c r="E86" s="24"/>
      <c r="F86" s="115">
        <f>'NOM REAL'!B168</f>
        <v>0</v>
      </c>
      <c r="G86" s="78" t="str">
        <f>NOMINA!C86</f>
        <v>Emp 080</v>
      </c>
      <c r="H86" s="117">
        <f t="shared" si="65"/>
        <v>31</v>
      </c>
      <c r="I86" s="78">
        <v>31</v>
      </c>
      <c r="J86" s="78">
        <v>0</v>
      </c>
      <c r="K86" s="78">
        <v>0</v>
      </c>
      <c r="L86" s="118">
        <f>'NOM REAL'!F168</f>
        <v>0</v>
      </c>
      <c r="M86" s="118">
        <f t="shared" si="66"/>
        <v>0</v>
      </c>
      <c r="N86" s="101">
        <f t="shared" si="67"/>
        <v>741.87</v>
      </c>
      <c r="O86" s="101">
        <f t="shared" si="68"/>
        <v>0</v>
      </c>
      <c r="P86" s="101">
        <f t="shared" si="69"/>
        <v>0</v>
      </c>
      <c r="Q86" s="101">
        <f t="shared" si="70"/>
        <v>0</v>
      </c>
      <c r="R86" s="101">
        <f t="shared" si="71"/>
        <v>0</v>
      </c>
      <c r="S86" s="101">
        <f t="shared" si="72"/>
        <v>0</v>
      </c>
      <c r="T86" s="101">
        <f t="shared" si="73"/>
        <v>0</v>
      </c>
      <c r="U86" s="101">
        <f t="shared" si="74"/>
        <v>741.87</v>
      </c>
      <c r="V86" s="119"/>
      <c r="W86" s="101">
        <f t="shared" si="75"/>
        <v>0</v>
      </c>
      <c r="X86" s="101" t="e">
        <f>+ROUND(H86*M86*(VLOOKUP(M86,TABLAS!$B$29:$D$35,3,1)+1.125%),2)</f>
        <v>#N/A</v>
      </c>
      <c r="Y86" s="101">
        <f t="shared" si="76"/>
        <v>0</v>
      </c>
      <c r="Z86" s="101" t="e">
        <f t="shared" si="77"/>
        <v>#N/A</v>
      </c>
      <c r="AA86" s="100"/>
      <c r="AB86" s="101">
        <f t="shared" si="78"/>
        <v>741.87</v>
      </c>
      <c r="AC86" s="101" t="e">
        <f t="shared" si="79"/>
        <v>#N/A</v>
      </c>
      <c r="AD86" s="101">
        <f t="shared" si="80"/>
        <v>0</v>
      </c>
      <c r="AE86" s="101" t="e">
        <f t="shared" si="81"/>
        <v>#N/A</v>
      </c>
      <c r="AF86" s="119"/>
      <c r="AG86" s="101" t="e">
        <f t="shared" si="82"/>
        <v>#N/A</v>
      </c>
      <c r="AH86" s="101" t="e">
        <f t="shared" si="83"/>
        <v>#N/A</v>
      </c>
      <c r="AI86" s="101" t="e">
        <f t="shared" si="84"/>
        <v>#N/A</v>
      </c>
      <c r="AJ86" s="101" t="e">
        <f t="shared" si="85"/>
        <v>#N/A</v>
      </c>
      <c r="AK86" s="101" t="e">
        <f t="shared" si="86"/>
        <v>#N/A</v>
      </c>
      <c r="AL86" s="120" t="e">
        <f>AM86*'NOM REAL'!E168</f>
        <v>#N/A</v>
      </c>
      <c r="AM86" s="101" t="e">
        <f t="shared" si="87"/>
        <v>#N/A</v>
      </c>
    </row>
    <row r="87" spans="1:39" s="40" customFormat="1" ht="12.5" x14ac:dyDescent="0.25">
      <c r="A87" s="24">
        <f t="shared" si="88"/>
        <v>81</v>
      </c>
      <c r="B87" s="24"/>
      <c r="C87" s="24"/>
      <c r="D87" s="24"/>
      <c r="E87" s="24"/>
      <c r="F87" s="115">
        <f>'NOM REAL'!B169</f>
        <v>0</v>
      </c>
      <c r="G87" s="78" t="str">
        <f>NOMINA!C87</f>
        <v>Emp 081</v>
      </c>
      <c r="H87" s="117">
        <f t="shared" ref="H87:H95" si="89">+I87-J87-K87</f>
        <v>31</v>
      </c>
      <c r="I87" s="78">
        <v>31</v>
      </c>
      <c r="J87" s="78">
        <v>0</v>
      </c>
      <c r="K87" s="78">
        <v>0</v>
      </c>
      <c r="L87" s="118">
        <f>'NOM REAL'!F169</f>
        <v>0</v>
      </c>
      <c r="M87" s="118">
        <f t="shared" ref="M87:M95" si="90">IF(L87*1.0493&gt;$L$2*25,$L$2*25,L87*1.0493)</f>
        <v>0</v>
      </c>
      <c r="N87" s="101">
        <f t="shared" ref="N87:N95" si="91">+ROUND($L$2*$N$6*I87,2)</f>
        <v>741.87</v>
      </c>
      <c r="O87" s="101">
        <f t="shared" ref="O87:O95" si="92">+IF(M87&gt;$M$2,M87-$M$2,0)*$O$6*I87</f>
        <v>0</v>
      </c>
      <c r="P87" s="101">
        <f t="shared" ref="P87:P95" si="93">+ROUND(M87*$P$6*I87,2)</f>
        <v>0</v>
      </c>
      <c r="Q87" s="101">
        <f t="shared" ref="Q87:Q95" si="94">+ROUND(M87*$Q$6*I87,2)</f>
        <v>0</v>
      </c>
      <c r="R87" s="101">
        <f t="shared" ref="R87:R95" si="95">+ROUND(M87*$R$6*I87,2)</f>
        <v>0</v>
      </c>
      <c r="S87" s="101">
        <f t="shared" ref="S87:S95" si="96">+ROUND(M87*$S$6*I87,2)</f>
        <v>0</v>
      </c>
      <c r="T87" s="101">
        <f t="shared" ref="T87:T95" si="97">+ROUND(M87*$T$6*I87,2)</f>
        <v>0</v>
      </c>
      <c r="U87" s="101">
        <f t="shared" ref="U87:U95" si="98">+SUM(N87:T87)</f>
        <v>741.87</v>
      </c>
      <c r="V87" s="119"/>
      <c r="W87" s="101">
        <f t="shared" ref="W87:W95" si="99">+ROUND(I87*M87*$W$6,2)</f>
        <v>0</v>
      </c>
      <c r="X87" s="101" t="e">
        <f>+ROUND(H87*M87*(VLOOKUP(M87,TABLAS!$B$29:$D$35,3,1)+1.125%),2)</f>
        <v>#N/A</v>
      </c>
      <c r="Y87" s="101">
        <f t="shared" ref="Y87:Y95" si="100">+ROUND(H87*M87*$Y$6,2)</f>
        <v>0</v>
      </c>
      <c r="Z87" s="101" t="e">
        <f t="shared" ref="Z87:Z95" si="101">+SUM(W87:Y87)</f>
        <v>#N/A</v>
      </c>
      <c r="AA87" s="100"/>
      <c r="AB87" s="101">
        <f t="shared" ref="AB87:AB95" si="102">+U87</f>
        <v>741.87</v>
      </c>
      <c r="AC87" s="101" t="e">
        <f t="shared" ref="AC87:AC95" si="103">+Z87</f>
        <v>#N/A</v>
      </c>
      <c r="AD87" s="101">
        <f t="shared" ref="AD87:AD95" si="104">+H87*L87*4%</f>
        <v>0</v>
      </c>
      <c r="AE87" s="101" t="e">
        <f t="shared" ref="AE87:AE95" si="105">+SUM(AB87:AD87)</f>
        <v>#N/A</v>
      </c>
      <c r="AF87" s="119"/>
      <c r="AG87" s="101" t="e">
        <f t="shared" ref="AG87:AG95" si="106">+AE87+AJ87</f>
        <v>#N/A</v>
      </c>
      <c r="AH87" s="101" t="e">
        <f t="shared" ref="AH87:AH95" si="107">+AG87*16%</f>
        <v>#N/A</v>
      </c>
      <c r="AI87" s="101" t="e">
        <f t="shared" ref="AI87:AI95" si="108">+AG87+AH87</f>
        <v>#N/A</v>
      </c>
      <c r="AJ87" s="101" t="e">
        <f t="shared" ref="AJ87:AJ95" si="109">+AE87*7.21%</f>
        <v>#N/A</v>
      </c>
      <c r="AK87" s="101" t="e">
        <f t="shared" ref="AK87:AK95" si="110">+AG87/2</f>
        <v>#N/A</v>
      </c>
      <c r="AL87" s="120" t="e">
        <f>AM87*'NOM REAL'!E169</f>
        <v>#N/A</v>
      </c>
      <c r="AM87" s="101" t="e">
        <f t="shared" ref="AM87:AM95" si="111">AE87/30.4</f>
        <v>#N/A</v>
      </c>
    </row>
    <row r="88" spans="1:39" s="40" customFormat="1" ht="12.5" x14ac:dyDescent="0.25">
      <c r="A88" s="24">
        <f t="shared" si="88"/>
        <v>82</v>
      </c>
      <c r="B88" s="24"/>
      <c r="C88" s="24"/>
      <c r="D88" s="24"/>
      <c r="E88" s="24"/>
      <c r="F88" s="115">
        <f>'NOM REAL'!B170</f>
        <v>0</v>
      </c>
      <c r="G88" s="78" t="str">
        <f>NOMINA!C88</f>
        <v>Emp 082</v>
      </c>
      <c r="H88" s="117">
        <f t="shared" si="89"/>
        <v>31</v>
      </c>
      <c r="I88" s="78">
        <v>31</v>
      </c>
      <c r="J88" s="78">
        <v>0</v>
      </c>
      <c r="K88" s="78">
        <v>0</v>
      </c>
      <c r="L88" s="118">
        <f>'NOM REAL'!F170</f>
        <v>0</v>
      </c>
      <c r="M88" s="118">
        <f t="shared" si="90"/>
        <v>0</v>
      </c>
      <c r="N88" s="101">
        <f t="shared" si="91"/>
        <v>741.87</v>
      </c>
      <c r="O88" s="101">
        <f t="shared" si="92"/>
        <v>0</v>
      </c>
      <c r="P88" s="101">
        <f t="shared" si="93"/>
        <v>0</v>
      </c>
      <c r="Q88" s="101">
        <f t="shared" si="94"/>
        <v>0</v>
      </c>
      <c r="R88" s="101">
        <f t="shared" si="95"/>
        <v>0</v>
      </c>
      <c r="S88" s="101">
        <f t="shared" si="96"/>
        <v>0</v>
      </c>
      <c r="T88" s="101">
        <f t="shared" si="97"/>
        <v>0</v>
      </c>
      <c r="U88" s="101">
        <f t="shared" si="98"/>
        <v>741.87</v>
      </c>
      <c r="V88" s="119"/>
      <c r="W88" s="101">
        <f t="shared" si="99"/>
        <v>0</v>
      </c>
      <c r="X88" s="101" t="e">
        <f>+ROUND(H88*M88*(VLOOKUP(M88,TABLAS!$B$29:$D$35,3,1)+1.125%),2)</f>
        <v>#N/A</v>
      </c>
      <c r="Y88" s="101">
        <f t="shared" si="100"/>
        <v>0</v>
      </c>
      <c r="Z88" s="101" t="e">
        <f t="shared" si="101"/>
        <v>#N/A</v>
      </c>
      <c r="AA88" s="100"/>
      <c r="AB88" s="101">
        <f t="shared" si="102"/>
        <v>741.87</v>
      </c>
      <c r="AC88" s="101" t="e">
        <f t="shared" si="103"/>
        <v>#N/A</v>
      </c>
      <c r="AD88" s="101">
        <f t="shared" si="104"/>
        <v>0</v>
      </c>
      <c r="AE88" s="101" t="e">
        <f t="shared" si="105"/>
        <v>#N/A</v>
      </c>
      <c r="AF88" s="119"/>
      <c r="AG88" s="101" t="e">
        <f t="shared" si="106"/>
        <v>#N/A</v>
      </c>
      <c r="AH88" s="101" t="e">
        <f t="shared" si="107"/>
        <v>#N/A</v>
      </c>
      <c r="AI88" s="101" t="e">
        <f t="shared" si="108"/>
        <v>#N/A</v>
      </c>
      <c r="AJ88" s="101" t="e">
        <f t="shared" si="109"/>
        <v>#N/A</v>
      </c>
      <c r="AK88" s="101" t="e">
        <f t="shared" si="110"/>
        <v>#N/A</v>
      </c>
      <c r="AL88" s="120" t="e">
        <f>AM88*'NOM REAL'!E170</f>
        <v>#N/A</v>
      </c>
      <c r="AM88" s="101" t="e">
        <f t="shared" si="111"/>
        <v>#N/A</v>
      </c>
    </row>
    <row r="89" spans="1:39" s="40" customFormat="1" ht="12.5" x14ac:dyDescent="0.25">
      <c r="A89" s="24">
        <f t="shared" si="88"/>
        <v>83</v>
      </c>
      <c r="B89" s="24"/>
      <c r="C89" s="24"/>
      <c r="D89" s="24"/>
      <c r="E89" s="24"/>
      <c r="F89" s="115">
        <f>'NOM REAL'!B171</f>
        <v>0</v>
      </c>
      <c r="G89" s="78" t="str">
        <f>NOMINA!C89</f>
        <v>Emp 083</v>
      </c>
      <c r="H89" s="117">
        <f t="shared" si="89"/>
        <v>31</v>
      </c>
      <c r="I89" s="78">
        <v>31</v>
      </c>
      <c r="J89" s="78">
        <v>0</v>
      </c>
      <c r="K89" s="78">
        <v>0</v>
      </c>
      <c r="L89" s="118">
        <f>'NOM REAL'!F171</f>
        <v>0</v>
      </c>
      <c r="M89" s="118">
        <f t="shared" si="90"/>
        <v>0</v>
      </c>
      <c r="N89" s="101">
        <f t="shared" si="91"/>
        <v>741.87</v>
      </c>
      <c r="O89" s="101">
        <f t="shared" si="92"/>
        <v>0</v>
      </c>
      <c r="P89" s="101">
        <f t="shared" si="93"/>
        <v>0</v>
      </c>
      <c r="Q89" s="101">
        <f t="shared" si="94"/>
        <v>0</v>
      </c>
      <c r="R89" s="101">
        <f t="shared" si="95"/>
        <v>0</v>
      </c>
      <c r="S89" s="101">
        <f t="shared" si="96"/>
        <v>0</v>
      </c>
      <c r="T89" s="101">
        <f t="shared" si="97"/>
        <v>0</v>
      </c>
      <c r="U89" s="101">
        <f t="shared" si="98"/>
        <v>741.87</v>
      </c>
      <c r="V89" s="119"/>
      <c r="W89" s="101">
        <f t="shared" si="99"/>
        <v>0</v>
      </c>
      <c r="X89" s="101" t="e">
        <f>+ROUND(H89*M89*(VLOOKUP(M89,TABLAS!$B$29:$D$35,3,1)+1.125%),2)</f>
        <v>#N/A</v>
      </c>
      <c r="Y89" s="101">
        <f t="shared" si="100"/>
        <v>0</v>
      </c>
      <c r="Z89" s="101" t="e">
        <f t="shared" si="101"/>
        <v>#N/A</v>
      </c>
      <c r="AA89" s="100"/>
      <c r="AB89" s="101">
        <f t="shared" si="102"/>
        <v>741.87</v>
      </c>
      <c r="AC89" s="101" t="e">
        <f t="shared" si="103"/>
        <v>#N/A</v>
      </c>
      <c r="AD89" s="101">
        <f t="shared" si="104"/>
        <v>0</v>
      </c>
      <c r="AE89" s="101" t="e">
        <f t="shared" si="105"/>
        <v>#N/A</v>
      </c>
      <c r="AF89" s="119"/>
      <c r="AG89" s="101" t="e">
        <f t="shared" si="106"/>
        <v>#N/A</v>
      </c>
      <c r="AH89" s="101" t="e">
        <f t="shared" si="107"/>
        <v>#N/A</v>
      </c>
      <c r="AI89" s="101" t="e">
        <f t="shared" si="108"/>
        <v>#N/A</v>
      </c>
      <c r="AJ89" s="101" t="e">
        <f t="shared" si="109"/>
        <v>#N/A</v>
      </c>
      <c r="AK89" s="101" t="e">
        <f t="shared" si="110"/>
        <v>#N/A</v>
      </c>
      <c r="AL89" s="120" t="e">
        <f>AM89*'NOM REAL'!E171</f>
        <v>#N/A</v>
      </c>
      <c r="AM89" s="101" t="e">
        <f t="shared" si="111"/>
        <v>#N/A</v>
      </c>
    </row>
    <row r="90" spans="1:39" s="40" customFormat="1" ht="12.5" x14ac:dyDescent="0.25">
      <c r="A90" s="24">
        <f t="shared" si="88"/>
        <v>84</v>
      </c>
      <c r="B90" s="24"/>
      <c r="C90" s="24"/>
      <c r="D90" s="24"/>
      <c r="E90" s="24"/>
      <c r="F90" s="115">
        <f>'NOM REAL'!B172</f>
        <v>0</v>
      </c>
      <c r="G90" s="78" t="str">
        <f>NOMINA!C90</f>
        <v>Emp 084</v>
      </c>
      <c r="H90" s="117">
        <f t="shared" si="89"/>
        <v>31</v>
      </c>
      <c r="I90" s="78">
        <v>31</v>
      </c>
      <c r="J90" s="78">
        <v>0</v>
      </c>
      <c r="K90" s="78">
        <v>0</v>
      </c>
      <c r="L90" s="118">
        <f>'NOM REAL'!F172</f>
        <v>0</v>
      </c>
      <c r="M90" s="118">
        <f t="shared" si="90"/>
        <v>0</v>
      </c>
      <c r="N90" s="101">
        <f t="shared" si="91"/>
        <v>741.87</v>
      </c>
      <c r="O90" s="101">
        <f t="shared" si="92"/>
        <v>0</v>
      </c>
      <c r="P90" s="101">
        <f t="shared" si="93"/>
        <v>0</v>
      </c>
      <c r="Q90" s="101">
        <f t="shared" si="94"/>
        <v>0</v>
      </c>
      <c r="R90" s="101">
        <f t="shared" si="95"/>
        <v>0</v>
      </c>
      <c r="S90" s="101">
        <f t="shared" si="96"/>
        <v>0</v>
      </c>
      <c r="T90" s="101">
        <f t="shared" si="97"/>
        <v>0</v>
      </c>
      <c r="U90" s="101">
        <f t="shared" si="98"/>
        <v>741.87</v>
      </c>
      <c r="V90" s="119"/>
      <c r="W90" s="101">
        <f t="shared" si="99"/>
        <v>0</v>
      </c>
      <c r="X90" s="101" t="e">
        <f>+ROUND(H90*M90*(VLOOKUP(M90,TABLAS!$B$29:$D$35,3,1)+1.125%),2)</f>
        <v>#N/A</v>
      </c>
      <c r="Y90" s="101">
        <f t="shared" si="100"/>
        <v>0</v>
      </c>
      <c r="Z90" s="101" t="e">
        <f t="shared" si="101"/>
        <v>#N/A</v>
      </c>
      <c r="AA90" s="100"/>
      <c r="AB90" s="101">
        <f t="shared" si="102"/>
        <v>741.87</v>
      </c>
      <c r="AC90" s="101" t="e">
        <f t="shared" si="103"/>
        <v>#N/A</v>
      </c>
      <c r="AD90" s="101">
        <f t="shared" si="104"/>
        <v>0</v>
      </c>
      <c r="AE90" s="101" t="e">
        <f t="shared" si="105"/>
        <v>#N/A</v>
      </c>
      <c r="AF90" s="119"/>
      <c r="AG90" s="101" t="e">
        <f t="shared" si="106"/>
        <v>#N/A</v>
      </c>
      <c r="AH90" s="101" t="e">
        <f t="shared" si="107"/>
        <v>#N/A</v>
      </c>
      <c r="AI90" s="101" t="e">
        <f t="shared" si="108"/>
        <v>#N/A</v>
      </c>
      <c r="AJ90" s="101" t="e">
        <f t="shared" si="109"/>
        <v>#N/A</v>
      </c>
      <c r="AK90" s="101" t="e">
        <f t="shared" si="110"/>
        <v>#N/A</v>
      </c>
      <c r="AL90" s="120" t="e">
        <f>AM90*'NOM REAL'!E172</f>
        <v>#N/A</v>
      </c>
      <c r="AM90" s="101" t="e">
        <f t="shared" si="111"/>
        <v>#N/A</v>
      </c>
    </row>
    <row r="91" spans="1:39" s="40" customFormat="1" ht="12.5" x14ac:dyDescent="0.25">
      <c r="A91" s="24">
        <f t="shared" si="88"/>
        <v>85</v>
      </c>
      <c r="B91" s="24"/>
      <c r="C91" s="24"/>
      <c r="D91" s="24"/>
      <c r="E91" s="24"/>
      <c r="F91" s="115">
        <f>'NOM REAL'!B173</f>
        <v>0</v>
      </c>
      <c r="G91" s="78" t="str">
        <f>NOMINA!C91</f>
        <v>Emp 085</v>
      </c>
      <c r="H91" s="117">
        <f t="shared" si="89"/>
        <v>31</v>
      </c>
      <c r="I91" s="78">
        <v>31</v>
      </c>
      <c r="J91" s="78">
        <v>0</v>
      </c>
      <c r="K91" s="78">
        <v>0</v>
      </c>
      <c r="L91" s="118">
        <f>'NOM REAL'!F173</f>
        <v>0</v>
      </c>
      <c r="M91" s="118">
        <f t="shared" si="90"/>
        <v>0</v>
      </c>
      <c r="N91" s="101">
        <f t="shared" si="91"/>
        <v>741.87</v>
      </c>
      <c r="O91" s="101">
        <f t="shared" si="92"/>
        <v>0</v>
      </c>
      <c r="P91" s="101">
        <f t="shared" si="93"/>
        <v>0</v>
      </c>
      <c r="Q91" s="101">
        <f t="shared" si="94"/>
        <v>0</v>
      </c>
      <c r="R91" s="101">
        <f t="shared" si="95"/>
        <v>0</v>
      </c>
      <c r="S91" s="101">
        <f t="shared" si="96"/>
        <v>0</v>
      </c>
      <c r="T91" s="101">
        <f t="shared" si="97"/>
        <v>0</v>
      </c>
      <c r="U91" s="101">
        <f t="shared" si="98"/>
        <v>741.87</v>
      </c>
      <c r="V91" s="119"/>
      <c r="W91" s="101">
        <f t="shared" si="99"/>
        <v>0</v>
      </c>
      <c r="X91" s="101" t="e">
        <f>+ROUND(H91*M91*(VLOOKUP(M91,TABLAS!$B$29:$D$35,3,1)+1.125%),2)</f>
        <v>#N/A</v>
      </c>
      <c r="Y91" s="101">
        <f t="shared" si="100"/>
        <v>0</v>
      </c>
      <c r="Z91" s="101" t="e">
        <f t="shared" si="101"/>
        <v>#N/A</v>
      </c>
      <c r="AA91" s="100"/>
      <c r="AB91" s="101">
        <f t="shared" si="102"/>
        <v>741.87</v>
      </c>
      <c r="AC91" s="101" t="e">
        <f t="shared" si="103"/>
        <v>#N/A</v>
      </c>
      <c r="AD91" s="101">
        <f t="shared" si="104"/>
        <v>0</v>
      </c>
      <c r="AE91" s="101" t="e">
        <f t="shared" si="105"/>
        <v>#N/A</v>
      </c>
      <c r="AF91" s="119"/>
      <c r="AG91" s="101" t="e">
        <f t="shared" si="106"/>
        <v>#N/A</v>
      </c>
      <c r="AH91" s="101" t="e">
        <f t="shared" si="107"/>
        <v>#N/A</v>
      </c>
      <c r="AI91" s="101" t="e">
        <f t="shared" si="108"/>
        <v>#N/A</v>
      </c>
      <c r="AJ91" s="101" t="e">
        <f t="shared" si="109"/>
        <v>#N/A</v>
      </c>
      <c r="AK91" s="101" t="e">
        <f t="shared" si="110"/>
        <v>#N/A</v>
      </c>
      <c r="AL91" s="120" t="e">
        <f>AM91*'NOM REAL'!E173</f>
        <v>#N/A</v>
      </c>
      <c r="AM91" s="101" t="e">
        <f t="shared" si="111"/>
        <v>#N/A</v>
      </c>
    </row>
    <row r="92" spans="1:39" s="40" customFormat="1" ht="12.5" x14ac:dyDescent="0.25">
      <c r="A92" s="24">
        <f t="shared" si="88"/>
        <v>86</v>
      </c>
      <c r="B92" s="24"/>
      <c r="C92" s="24"/>
      <c r="D92" s="24"/>
      <c r="E92" s="24"/>
      <c r="F92" s="115">
        <f>'NOM REAL'!B174</f>
        <v>0</v>
      </c>
      <c r="G92" s="78" t="str">
        <f>NOMINA!C92</f>
        <v>Emp 086</v>
      </c>
      <c r="H92" s="117">
        <f t="shared" si="89"/>
        <v>31</v>
      </c>
      <c r="I92" s="78">
        <v>31</v>
      </c>
      <c r="J92" s="78">
        <v>0</v>
      </c>
      <c r="K92" s="78">
        <v>0</v>
      </c>
      <c r="L92" s="118">
        <f>'NOM REAL'!F174</f>
        <v>0</v>
      </c>
      <c r="M92" s="118">
        <f t="shared" si="90"/>
        <v>0</v>
      </c>
      <c r="N92" s="101">
        <f t="shared" si="91"/>
        <v>741.87</v>
      </c>
      <c r="O92" s="101">
        <f t="shared" si="92"/>
        <v>0</v>
      </c>
      <c r="P92" s="101">
        <f t="shared" si="93"/>
        <v>0</v>
      </c>
      <c r="Q92" s="101">
        <f t="shared" si="94"/>
        <v>0</v>
      </c>
      <c r="R92" s="101">
        <f t="shared" si="95"/>
        <v>0</v>
      </c>
      <c r="S92" s="101">
        <f t="shared" si="96"/>
        <v>0</v>
      </c>
      <c r="T92" s="101">
        <f t="shared" si="97"/>
        <v>0</v>
      </c>
      <c r="U92" s="101">
        <f t="shared" si="98"/>
        <v>741.87</v>
      </c>
      <c r="V92" s="119"/>
      <c r="W92" s="101">
        <f t="shared" si="99"/>
        <v>0</v>
      </c>
      <c r="X92" s="101" t="e">
        <f>+ROUND(H92*M92*(VLOOKUP(M92,TABLAS!$B$29:$D$35,3,1)+1.125%),2)</f>
        <v>#N/A</v>
      </c>
      <c r="Y92" s="101">
        <f t="shared" si="100"/>
        <v>0</v>
      </c>
      <c r="Z92" s="101" t="e">
        <f t="shared" si="101"/>
        <v>#N/A</v>
      </c>
      <c r="AA92" s="100"/>
      <c r="AB92" s="101">
        <f t="shared" si="102"/>
        <v>741.87</v>
      </c>
      <c r="AC92" s="101" t="e">
        <f t="shared" si="103"/>
        <v>#N/A</v>
      </c>
      <c r="AD92" s="101">
        <f t="shared" si="104"/>
        <v>0</v>
      </c>
      <c r="AE92" s="101" t="e">
        <f t="shared" si="105"/>
        <v>#N/A</v>
      </c>
      <c r="AF92" s="119"/>
      <c r="AG92" s="101" t="e">
        <f t="shared" si="106"/>
        <v>#N/A</v>
      </c>
      <c r="AH92" s="101" t="e">
        <f t="shared" si="107"/>
        <v>#N/A</v>
      </c>
      <c r="AI92" s="101" t="e">
        <f t="shared" si="108"/>
        <v>#N/A</v>
      </c>
      <c r="AJ92" s="101" t="e">
        <f t="shared" si="109"/>
        <v>#N/A</v>
      </c>
      <c r="AK92" s="101" t="e">
        <f t="shared" si="110"/>
        <v>#N/A</v>
      </c>
      <c r="AL92" s="120" t="e">
        <f>AM92*'NOM REAL'!E174</f>
        <v>#N/A</v>
      </c>
      <c r="AM92" s="101" t="e">
        <f t="shared" si="111"/>
        <v>#N/A</v>
      </c>
    </row>
    <row r="93" spans="1:39" s="40" customFormat="1" ht="12.5" x14ac:dyDescent="0.25">
      <c r="A93" s="24">
        <f t="shared" si="88"/>
        <v>87</v>
      </c>
      <c r="B93" s="24"/>
      <c r="C93" s="24"/>
      <c r="D93" s="24"/>
      <c r="E93" s="24"/>
      <c r="F93" s="115">
        <f>'NOM REAL'!B175</f>
        <v>0</v>
      </c>
      <c r="G93" s="78" t="str">
        <f>NOMINA!C93</f>
        <v>Emp 087</v>
      </c>
      <c r="H93" s="117">
        <f t="shared" si="89"/>
        <v>31</v>
      </c>
      <c r="I93" s="78">
        <v>31</v>
      </c>
      <c r="J93" s="78">
        <v>0</v>
      </c>
      <c r="K93" s="78">
        <v>0</v>
      </c>
      <c r="L93" s="118">
        <f>'NOM REAL'!F175</f>
        <v>0</v>
      </c>
      <c r="M93" s="118">
        <f t="shared" si="90"/>
        <v>0</v>
      </c>
      <c r="N93" s="101">
        <f t="shared" si="91"/>
        <v>741.87</v>
      </c>
      <c r="O93" s="101">
        <f t="shared" si="92"/>
        <v>0</v>
      </c>
      <c r="P93" s="101">
        <f t="shared" si="93"/>
        <v>0</v>
      </c>
      <c r="Q93" s="101">
        <f t="shared" si="94"/>
        <v>0</v>
      </c>
      <c r="R93" s="101">
        <f t="shared" si="95"/>
        <v>0</v>
      </c>
      <c r="S93" s="101">
        <f t="shared" si="96"/>
        <v>0</v>
      </c>
      <c r="T93" s="101">
        <f t="shared" si="97"/>
        <v>0</v>
      </c>
      <c r="U93" s="101">
        <f t="shared" si="98"/>
        <v>741.87</v>
      </c>
      <c r="V93" s="119"/>
      <c r="W93" s="101">
        <f t="shared" si="99"/>
        <v>0</v>
      </c>
      <c r="X93" s="101" t="e">
        <f>+ROUND(H93*M93*(VLOOKUP(M93,TABLAS!$B$29:$D$35,3,1)+1.125%),2)</f>
        <v>#N/A</v>
      </c>
      <c r="Y93" s="101">
        <f t="shared" si="100"/>
        <v>0</v>
      </c>
      <c r="Z93" s="101" t="e">
        <f t="shared" si="101"/>
        <v>#N/A</v>
      </c>
      <c r="AA93" s="100"/>
      <c r="AB93" s="101">
        <f t="shared" si="102"/>
        <v>741.87</v>
      </c>
      <c r="AC93" s="101" t="e">
        <f t="shared" si="103"/>
        <v>#N/A</v>
      </c>
      <c r="AD93" s="101">
        <f t="shared" si="104"/>
        <v>0</v>
      </c>
      <c r="AE93" s="101" t="e">
        <f t="shared" si="105"/>
        <v>#N/A</v>
      </c>
      <c r="AF93" s="119"/>
      <c r="AG93" s="101" t="e">
        <f t="shared" si="106"/>
        <v>#N/A</v>
      </c>
      <c r="AH93" s="101" t="e">
        <f t="shared" si="107"/>
        <v>#N/A</v>
      </c>
      <c r="AI93" s="101" t="e">
        <f t="shared" si="108"/>
        <v>#N/A</v>
      </c>
      <c r="AJ93" s="101" t="e">
        <f t="shared" si="109"/>
        <v>#N/A</v>
      </c>
      <c r="AK93" s="101" t="e">
        <f t="shared" si="110"/>
        <v>#N/A</v>
      </c>
      <c r="AL93" s="120" t="e">
        <f>AM93*'NOM REAL'!E175</f>
        <v>#N/A</v>
      </c>
      <c r="AM93" s="101" t="e">
        <f t="shared" si="111"/>
        <v>#N/A</v>
      </c>
    </row>
    <row r="94" spans="1:39" s="40" customFormat="1" ht="12.5" x14ac:dyDescent="0.25">
      <c r="A94" s="24">
        <f t="shared" si="88"/>
        <v>88</v>
      </c>
      <c r="B94" s="24"/>
      <c r="C94" s="24"/>
      <c r="D94" s="24"/>
      <c r="E94" s="24"/>
      <c r="F94" s="115">
        <f>'NOM REAL'!B176</f>
        <v>0</v>
      </c>
      <c r="G94" s="78" t="str">
        <f>NOMINA!C94</f>
        <v>Emp 088</v>
      </c>
      <c r="H94" s="117">
        <f t="shared" si="89"/>
        <v>31</v>
      </c>
      <c r="I94" s="78">
        <v>31</v>
      </c>
      <c r="J94" s="78">
        <v>0</v>
      </c>
      <c r="K94" s="78">
        <v>0</v>
      </c>
      <c r="L94" s="118">
        <f>'NOM REAL'!F176</f>
        <v>0</v>
      </c>
      <c r="M94" s="118">
        <f t="shared" si="90"/>
        <v>0</v>
      </c>
      <c r="N94" s="101">
        <f t="shared" si="91"/>
        <v>741.87</v>
      </c>
      <c r="O94" s="101">
        <f t="shared" si="92"/>
        <v>0</v>
      </c>
      <c r="P94" s="101">
        <f t="shared" si="93"/>
        <v>0</v>
      </c>
      <c r="Q94" s="101">
        <f t="shared" si="94"/>
        <v>0</v>
      </c>
      <c r="R94" s="101">
        <f t="shared" si="95"/>
        <v>0</v>
      </c>
      <c r="S94" s="101">
        <f t="shared" si="96"/>
        <v>0</v>
      </c>
      <c r="T94" s="101">
        <f t="shared" si="97"/>
        <v>0</v>
      </c>
      <c r="U94" s="101">
        <f t="shared" si="98"/>
        <v>741.87</v>
      </c>
      <c r="V94" s="119"/>
      <c r="W94" s="101">
        <f t="shared" si="99"/>
        <v>0</v>
      </c>
      <c r="X94" s="101" t="e">
        <f>+ROUND(H94*M94*(VLOOKUP(M94,TABLAS!$B$29:$D$35,3,1)+1.125%),2)</f>
        <v>#N/A</v>
      </c>
      <c r="Y94" s="101">
        <f t="shared" si="100"/>
        <v>0</v>
      </c>
      <c r="Z94" s="101" t="e">
        <f t="shared" si="101"/>
        <v>#N/A</v>
      </c>
      <c r="AA94" s="100"/>
      <c r="AB94" s="101">
        <f t="shared" si="102"/>
        <v>741.87</v>
      </c>
      <c r="AC94" s="101" t="e">
        <f t="shared" si="103"/>
        <v>#N/A</v>
      </c>
      <c r="AD94" s="101">
        <f t="shared" si="104"/>
        <v>0</v>
      </c>
      <c r="AE94" s="101" t="e">
        <f t="shared" si="105"/>
        <v>#N/A</v>
      </c>
      <c r="AF94" s="119"/>
      <c r="AG94" s="101" t="e">
        <f t="shared" si="106"/>
        <v>#N/A</v>
      </c>
      <c r="AH94" s="101" t="e">
        <f t="shared" si="107"/>
        <v>#N/A</v>
      </c>
      <c r="AI94" s="101" t="e">
        <f t="shared" si="108"/>
        <v>#N/A</v>
      </c>
      <c r="AJ94" s="101" t="e">
        <f t="shared" si="109"/>
        <v>#N/A</v>
      </c>
      <c r="AK94" s="101" t="e">
        <f t="shared" si="110"/>
        <v>#N/A</v>
      </c>
      <c r="AL94" s="120" t="e">
        <f>AM94*'NOM REAL'!E176</f>
        <v>#N/A</v>
      </c>
      <c r="AM94" s="101" t="e">
        <f t="shared" si="111"/>
        <v>#N/A</v>
      </c>
    </row>
    <row r="95" spans="1:39" s="40" customFormat="1" ht="12.5" x14ac:dyDescent="0.25">
      <c r="A95" s="24">
        <f t="shared" si="88"/>
        <v>89</v>
      </c>
      <c r="B95" s="24"/>
      <c r="C95" s="24"/>
      <c r="D95" s="24"/>
      <c r="E95" s="24"/>
      <c r="F95" s="115">
        <f>'NOM REAL'!B177</f>
        <v>0</v>
      </c>
      <c r="G95" s="78" t="str">
        <f>NOMINA!C95</f>
        <v>Emp 089</v>
      </c>
      <c r="H95" s="117">
        <f t="shared" si="89"/>
        <v>31</v>
      </c>
      <c r="I95" s="78">
        <v>31</v>
      </c>
      <c r="J95" s="78">
        <v>0</v>
      </c>
      <c r="K95" s="78">
        <v>0</v>
      </c>
      <c r="L95" s="118">
        <f>'NOM REAL'!F177</f>
        <v>0</v>
      </c>
      <c r="M95" s="118">
        <f t="shared" si="90"/>
        <v>0</v>
      </c>
      <c r="N95" s="101">
        <f t="shared" si="91"/>
        <v>741.87</v>
      </c>
      <c r="O95" s="101">
        <f t="shared" si="92"/>
        <v>0</v>
      </c>
      <c r="P95" s="101">
        <f t="shared" si="93"/>
        <v>0</v>
      </c>
      <c r="Q95" s="101">
        <f t="shared" si="94"/>
        <v>0</v>
      </c>
      <c r="R95" s="101">
        <f t="shared" si="95"/>
        <v>0</v>
      </c>
      <c r="S95" s="101">
        <f t="shared" si="96"/>
        <v>0</v>
      </c>
      <c r="T95" s="101">
        <f t="shared" si="97"/>
        <v>0</v>
      </c>
      <c r="U95" s="101">
        <f t="shared" si="98"/>
        <v>741.87</v>
      </c>
      <c r="V95" s="119"/>
      <c r="W95" s="101">
        <f t="shared" si="99"/>
        <v>0</v>
      </c>
      <c r="X95" s="101" t="e">
        <f>+ROUND(H95*M95*(VLOOKUP(M95,TABLAS!$B$29:$D$35,3,1)+1.125%),2)</f>
        <v>#N/A</v>
      </c>
      <c r="Y95" s="101">
        <f t="shared" si="100"/>
        <v>0</v>
      </c>
      <c r="Z95" s="101" t="e">
        <f t="shared" si="101"/>
        <v>#N/A</v>
      </c>
      <c r="AA95" s="100"/>
      <c r="AB95" s="101">
        <f t="shared" si="102"/>
        <v>741.87</v>
      </c>
      <c r="AC95" s="101" t="e">
        <f t="shared" si="103"/>
        <v>#N/A</v>
      </c>
      <c r="AD95" s="101">
        <f t="shared" si="104"/>
        <v>0</v>
      </c>
      <c r="AE95" s="101" t="e">
        <f t="shared" si="105"/>
        <v>#N/A</v>
      </c>
      <c r="AF95" s="119"/>
      <c r="AG95" s="101" t="e">
        <f t="shared" si="106"/>
        <v>#N/A</v>
      </c>
      <c r="AH95" s="101" t="e">
        <f t="shared" si="107"/>
        <v>#N/A</v>
      </c>
      <c r="AI95" s="101" t="e">
        <f t="shared" si="108"/>
        <v>#N/A</v>
      </c>
      <c r="AJ95" s="101" t="e">
        <f t="shared" si="109"/>
        <v>#N/A</v>
      </c>
      <c r="AK95" s="101" t="e">
        <f t="shared" si="110"/>
        <v>#N/A</v>
      </c>
      <c r="AL95" s="120" t="e">
        <f>AM95*'NOM REAL'!E177</f>
        <v>#N/A</v>
      </c>
      <c r="AM95" s="101" t="e">
        <f t="shared" si="111"/>
        <v>#N/A</v>
      </c>
    </row>
    <row r="96" spans="1:39" s="40" customFormat="1" ht="12.5" x14ac:dyDescent="0.25">
      <c r="A96" s="24">
        <f t="shared" si="88"/>
        <v>90</v>
      </c>
      <c r="B96" s="24"/>
      <c r="C96" s="24"/>
      <c r="D96" s="24"/>
      <c r="E96" s="24"/>
      <c r="F96" s="115">
        <f>'NOM REAL'!B178</f>
        <v>0</v>
      </c>
      <c r="G96" s="78" t="str">
        <f>NOMINA!C96</f>
        <v>Emp 090</v>
      </c>
      <c r="H96" s="117">
        <f t="shared" ref="H96:H103" si="112">+I96-J96-K96</f>
        <v>31</v>
      </c>
      <c r="I96" s="78">
        <v>31</v>
      </c>
      <c r="J96" s="78">
        <v>0</v>
      </c>
      <c r="K96" s="78">
        <v>0</v>
      </c>
      <c r="L96" s="118">
        <f>'NOM REAL'!F178</f>
        <v>0</v>
      </c>
      <c r="M96" s="118">
        <f t="shared" ref="M96:M103" si="113">IF(L96*1.0493&gt;$L$2*25,$L$2*25,L96*1.0493)</f>
        <v>0</v>
      </c>
      <c r="N96" s="101">
        <f t="shared" ref="N96:N103" si="114">+ROUND($L$2*$N$6*I96,2)</f>
        <v>741.87</v>
      </c>
      <c r="O96" s="101">
        <f t="shared" ref="O96:O103" si="115">+IF(M96&gt;$M$2,M96-$M$2,0)*$O$6*I96</f>
        <v>0</v>
      </c>
      <c r="P96" s="101">
        <f t="shared" ref="P96:P103" si="116">+ROUND(M96*$P$6*I96,2)</f>
        <v>0</v>
      </c>
      <c r="Q96" s="101">
        <f t="shared" ref="Q96:Q103" si="117">+ROUND(M96*$Q$6*I96,2)</f>
        <v>0</v>
      </c>
      <c r="R96" s="101">
        <f t="shared" ref="R96:R103" si="118">+ROUND(M96*$R$6*I96,2)</f>
        <v>0</v>
      </c>
      <c r="S96" s="101">
        <f t="shared" ref="S96:S103" si="119">+ROUND(M96*$S$6*I96,2)</f>
        <v>0</v>
      </c>
      <c r="T96" s="101">
        <f t="shared" ref="T96:T103" si="120">+ROUND(M96*$T$6*I96,2)</f>
        <v>0</v>
      </c>
      <c r="U96" s="101">
        <f t="shared" ref="U96:U103" si="121">+SUM(N96:T96)</f>
        <v>741.87</v>
      </c>
      <c r="V96" s="119"/>
      <c r="W96" s="101">
        <f t="shared" ref="W96:W103" si="122">+ROUND(I96*M96*$W$6,2)</f>
        <v>0</v>
      </c>
      <c r="X96" s="101" t="e">
        <f>+ROUND(H96*M96*(VLOOKUP(M96,TABLAS!$B$29:$D$35,3,1)+1.125%),2)</f>
        <v>#N/A</v>
      </c>
      <c r="Y96" s="101">
        <f t="shared" ref="Y96:Y103" si="123">+ROUND(H96*M96*$Y$6,2)</f>
        <v>0</v>
      </c>
      <c r="Z96" s="101" t="e">
        <f t="shared" ref="Z96:Z103" si="124">+SUM(W96:Y96)</f>
        <v>#N/A</v>
      </c>
      <c r="AA96" s="100"/>
      <c r="AB96" s="101">
        <f t="shared" ref="AB96:AB103" si="125">+U96</f>
        <v>741.87</v>
      </c>
      <c r="AC96" s="101" t="e">
        <f t="shared" ref="AC96:AC103" si="126">+Z96</f>
        <v>#N/A</v>
      </c>
      <c r="AD96" s="101">
        <f t="shared" ref="AD96:AD103" si="127">+H96*L96*4%</f>
        <v>0</v>
      </c>
      <c r="AE96" s="101" t="e">
        <f t="shared" ref="AE96:AE103" si="128">+SUM(AB96:AD96)</f>
        <v>#N/A</v>
      </c>
      <c r="AF96" s="119"/>
      <c r="AG96" s="101" t="e">
        <f t="shared" ref="AG96:AG103" si="129">+AE96+AJ96</f>
        <v>#N/A</v>
      </c>
      <c r="AH96" s="101" t="e">
        <f t="shared" ref="AH96:AH103" si="130">+AG96*16%</f>
        <v>#N/A</v>
      </c>
      <c r="AI96" s="101" t="e">
        <f t="shared" ref="AI96:AI103" si="131">+AG96+AH96</f>
        <v>#N/A</v>
      </c>
      <c r="AJ96" s="101" t="e">
        <f t="shared" ref="AJ96:AJ103" si="132">+AE96*7.21%</f>
        <v>#N/A</v>
      </c>
      <c r="AK96" s="101" t="e">
        <f t="shared" ref="AK96:AK103" si="133">+AG96/2</f>
        <v>#N/A</v>
      </c>
      <c r="AL96" s="120" t="e">
        <f>AM96*'NOM REAL'!E178</f>
        <v>#N/A</v>
      </c>
      <c r="AM96" s="101" t="e">
        <f t="shared" ref="AM96:AM103" si="134">AE96/30.4</f>
        <v>#N/A</v>
      </c>
    </row>
    <row r="97" spans="1:39" s="40" customFormat="1" ht="12.5" x14ac:dyDescent="0.25">
      <c r="A97" s="24">
        <f t="shared" si="88"/>
        <v>91</v>
      </c>
      <c r="B97" s="24"/>
      <c r="C97" s="24"/>
      <c r="D97" s="24"/>
      <c r="E97" s="24"/>
      <c r="F97" s="115">
        <f>'NOM REAL'!B179</f>
        <v>0</v>
      </c>
      <c r="G97" s="78" t="str">
        <f>NOMINA!C97</f>
        <v>Emp 091</v>
      </c>
      <c r="H97" s="117">
        <f t="shared" si="112"/>
        <v>31</v>
      </c>
      <c r="I97" s="78">
        <v>31</v>
      </c>
      <c r="J97" s="78">
        <v>0</v>
      </c>
      <c r="K97" s="78">
        <v>0</v>
      </c>
      <c r="L97" s="118">
        <f>'NOM REAL'!F179</f>
        <v>0</v>
      </c>
      <c r="M97" s="118">
        <f t="shared" si="113"/>
        <v>0</v>
      </c>
      <c r="N97" s="101">
        <f t="shared" si="114"/>
        <v>741.87</v>
      </c>
      <c r="O97" s="101">
        <f t="shared" si="115"/>
        <v>0</v>
      </c>
      <c r="P97" s="101">
        <f t="shared" si="116"/>
        <v>0</v>
      </c>
      <c r="Q97" s="101">
        <f t="shared" si="117"/>
        <v>0</v>
      </c>
      <c r="R97" s="101">
        <f t="shared" si="118"/>
        <v>0</v>
      </c>
      <c r="S97" s="101">
        <f t="shared" si="119"/>
        <v>0</v>
      </c>
      <c r="T97" s="101">
        <f t="shared" si="120"/>
        <v>0</v>
      </c>
      <c r="U97" s="101">
        <f t="shared" si="121"/>
        <v>741.87</v>
      </c>
      <c r="V97" s="119"/>
      <c r="W97" s="101">
        <f t="shared" si="122"/>
        <v>0</v>
      </c>
      <c r="X97" s="101" t="e">
        <f>+ROUND(H97*M97*(VLOOKUP(M97,TABLAS!$B$29:$D$35,3,1)+1.125%),2)</f>
        <v>#N/A</v>
      </c>
      <c r="Y97" s="101">
        <f t="shared" si="123"/>
        <v>0</v>
      </c>
      <c r="Z97" s="101" t="e">
        <f t="shared" si="124"/>
        <v>#N/A</v>
      </c>
      <c r="AA97" s="100"/>
      <c r="AB97" s="101">
        <f t="shared" si="125"/>
        <v>741.87</v>
      </c>
      <c r="AC97" s="101" t="e">
        <f t="shared" si="126"/>
        <v>#N/A</v>
      </c>
      <c r="AD97" s="101">
        <f t="shared" si="127"/>
        <v>0</v>
      </c>
      <c r="AE97" s="101" t="e">
        <f t="shared" si="128"/>
        <v>#N/A</v>
      </c>
      <c r="AF97" s="119"/>
      <c r="AG97" s="101" t="e">
        <f t="shared" si="129"/>
        <v>#N/A</v>
      </c>
      <c r="AH97" s="101" t="e">
        <f t="shared" si="130"/>
        <v>#N/A</v>
      </c>
      <c r="AI97" s="101" t="e">
        <f t="shared" si="131"/>
        <v>#N/A</v>
      </c>
      <c r="AJ97" s="101" t="e">
        <f t="shared" si="132"/>
        <v>#N/A</v>
      </c>
      <c r="AK97" s="101" t="e">
        <f t="shared" si="133"/>
        <v>#N/A</v>
      </c>
      <c r="AL97" s="120" t="e">
        <f>AM97*'NOM REAL'!E179</f>
        <v>#N/A</v>
      </c>
      <c r="AM97" s="101" t="e">
        <f t="shared" si="134"/>
        <v>#N/A</v>
      </c>
    </row>
    <row r="98" spans="1:39" s="40" customFormat="1" ht="12.5" x14ac:dyDescent="0.25">
      <c r="A98" s="24">
        <f t="shared" si="88"/>
        <v>92</v>
      </c>
      <c r="B98" s="24"/>
      <c r="C98" s="24"/>
      <c r="D98" s="24"/>
      <c r="E98" s="24"/>
      <c r="F98" s="115">
        <f>'NOM REAL'!B180</f>
        <v>0</v>
      </c>
      <c r="G98" s="78" t="str">
        <f>NOMINA!C98</f>
        <v>Emp 092</v>
      </c>
      <c r="H98" s="117">
        <f t="shared" si="112"/>
        <v>31</v>
      </c>
      <c r="I98" s="78">
        <v>31</v>
      </c>
      <c r="J98" s="78">
        <v>0</v>
      </c>
      <c r="K98" s="78">
        <v>0</v>
      </c>
      <c r="L98" s="118">
        <f>'NOM REAL'!F180</f>
        <v>0</v>
      </c>
      <c r="M98" s="118">
        <f t="shared" si="113"/>
        <v>0</v>
      </c>
      <c r="N98" s="101">
        <f t="shared" si="114"/>
        <v>741.87</v>
      </c>
      <c r="O98" s="101">
        <f t="shared" si="115"/>
        <v>0</v>
      </c>
      <c r="P98" s="101">
        <f t="shared" si="116"/>
        <v>0</v>
      </c>
      <c r="Q98" s="101">
        <f t="shared" si="117"/>
        <v>0</v>
      </c>
      <c r="R98" s="101">
        <f t="shared" si="118"/>
        <v>0</v>
      </c>
      <c r="S98" s="101">
        <f t="shared" si="119"/>
        <v>0</v>
      </c>
      <c r="T98" s="101">
        <f t="shared" si="120"/>
        <v>0</v>
      </c>
      <c r="U98" s="101">
        <f t="shared" si="121"/>
        <v>741.87</v>
      </c>
      <c r="V98" s="119"/>
      <c r="W98" s="101">
        <f t="shared" si="122"/>
        <v>0</v>
      </c>
      <c r="X98" s="101" t="e">
        <f>+ROUND(H98*M98*(VLOOKUP(M98,TABLAS!$B$29:$D$35,3,1)+1.125%),2)</f>
        <v>#N/A</v>
      </c>
      <c r="Y98" s="101">
        <f t="shared" si="123"/>
        <v>0</v>
      </c>
      <c r="Z98" s="101" t="e">
        <f t="shared" si="124"/>
        <v>#N/A</v>
      </c>
      <c r="AA98" s="100"/>
      <c r="AB98" s="101">
        <f t="shared" si="125"/>
        <v>741.87</v>
      </c>
      <c r="AC98" s="101" t="e">
        <f t="shared" si="126"/>
        <v>#N/A</v>
      </c>
      <c r="AD98" s="101">
        <f t="shared" si="127"/>
        <v>0</v>
      </c>
      <c r="AE98" s="101" t="e">
        <f t="shared" si="128"/>
        <v>#N/A</v>
      </c>
      <c r="AF98" s="119"/>
      <c r="AG98" s="101" t="e">
        <f t="shared" si="129"/>
        <v>#N/A</v>
      </c>
      <c r="AH98" s="101" t="e">
        <f t="shared" si="130"/>
        <v>#N/A</v>
      </c>
      <c r="AI98" s="101" t="e">
        <f t="shared" si="131"/>
        <v>#N/A</v>
      </c>
      <c r="AJ98" s="101" t="e">
        <f t="shared" si="132"/>
        <v>#N/A</v>
      </c>
      <c r="AK98" s="101" t="e">
        <f t="shared" si="133"/>
        <v>#N/A</v>
      </c>
      <c r="AL98" s="120" t="e">
        <f>AM98*'NOM REAL'!E180</f>
        <v>#N/A</v>
      </c>
      <c r="AM98" s="101" t="e">
        <f t="shared" si="134"/>
        <v>#N/A</v>
      </c>
    </row>
    <row r="99" spans="1:39" s="40" customFormat="1" ht="12.5" x14ac:dyDescent="0.25">
      <c r="A99" s="24">
        <f t="shared" si="88"/>
        <v>93</v>
      </c>
      <c r="B99" s="24"/>
      <c r="C99" s="24"/>
      <c r="D99" s="24"/>
      <c r="E99" s="24"/>
      <c r="F99" s="115">
        <f>'NOM REAL'!B181</f>
        <v>0</v>
      </c>
      <c r="G99" s="78" t="str">
        <f>NOMINA!C99</f>
        <v>Emp 093</v>
      </c>
      <c r="H99" s="117">
        <f t="shared" si="112"/>
        <v>31</v>
      </c>
      <c r="I99" s="78">
        <v>31</v>
      </c>
      <c r="J99" s="78">
        <v>0</v>
      </c>
      <c r="K99" s="78">
        <v>0</v>
      </c>
      <c r="L99" s="118">
        <f>'NOM REAL'!F181</f>
        <v>0</v>
      </c>
      <c r="M99" s="118">
        <f t="shared" si="113"/>
        <v>0</v>
      </c>
      <c r="N99" s="101">
        <f t="shared" si="114"/>
        <v>741.87</v>
      </c>
      <c r="O99" s="101">
        <f t="shared" si="115"/>
        <v>0</v>
      </c>
      <c r="P99" s="101">
        <f t="shared" si="116"/>
        <v>0</v>
      </c>
      <c r="Q99" s="101">
        <f t="shared" si="117"/>
        <v>0</v>
      </c>
      <c r="R99" s="101">
        <f t="shared" si="118"/>
        <v>0</v>
      </c>
      <c r="S99" s="101">
        <f t="shared" si="119"/>
        <v>0</v>
      </c>
      <c r="T99" s="101">
        <f t="shared" si="120"/>
        <v>0</v>
      </c>
      <c r="U99" s="101">
        <f t="shared" si="121"/>
        <v>741.87</v>
      </c>
      <c r="V99" s="119"/>
      <c r="W99" s="101">
        <f t="shared" si="122"/>
        <v>0</v>
      </c>
      <c r="X99" s="101" t="e">
        <f>+ROUND(H99*M99*(VLOOKUP(M99,TABLAS!$B$29:$D$35,3,1)+1.125%),2)</f>
        <v>#N/A</v>
      </c>
      <c r="Y99" s="101">
        <f t="shared" si="123"/>
        <v>0</v>
      </c>
      <c r="Z99" s="101" t="e">
        <f t="shared" si="124"/>
        <v>#N/A</v>
      </c>
      <c r="AA99" s="100"/>
      <c r="AB99" s="101">
        <f t="shared" si="125"/>
        <v>741.87</v>
      </c>
      <c r="AC99" s="101" t="e">
        <f t="shared" si="126"/>
        <v>#N/A</v>
      </c>
      <c r="AD99" s="101">
        <f t="shared" si="127"/>
        <v>0</v>
      </c>
      <c r="AE99" s="101" t="e">
        <f t="shared" si="128"/>
        <v>#N/A</v>
      </c>
      <c r="AF99" s="119"/>
      <c r="AG99" s="101" t="e">
        <f t="shared" si="129"/>
        <v>#N/A</v>
      </c>
      <c r="AH99" s="101" t="e">
        <f t="shared" si="130"/>
        <v>#N/A</v>
      </c>
      <c r="AI99" s="101" t="e">
        <f t="shared" si="131"/>
        <v>#N/A</v>
      </c>
      <c r="AJ99" s="101" t="e">
        <f t="shared" si="132"/>
        <v>#N/A</v>
      </c>
      <c r="AK99" s="101" t="e">
        <f t="shared" si="133"/>
        <v>#N/A</v>
      </c>
      <c r="AL99" s="120" t="e">
        <f>AM99*'NOM REAL'!E181</f>
        <v>#N/A</v>
      </c>
      <c r="AM99" s="101" t="e">
        <f t="shared" si="134"/>
        <v>#N/A</v>
      </c>
    </row>
    <row r="100" spans="1:39" s="40" customFormat="1" ht="12.5" x14ac:dyDescent="0.25">
      <c r="A100" s="24">
        <f t="shared" si="88"/>
        <v>94</v>
      </c>
      <c r="B100" s="24"/>
      <c r="C100" s="24"/>
      <c r="D100" s="24"/>
      <c r="E100" s="24"/>
      <c r="F100" s="115">
        <f>'NOM REAL'!B182</f>
        <v>0</v>
      </c>
      <c r="G100" s="78" t="str">
        <f>NOMINA!C100</f>
        <v>Emp 094</v>
      </c>
      <c r="H100" s="117">
        <f t="shared" si="112"/>
        <v>31</v>
      </c>
      <c r="I100" s="78">
        <v>31</v>
      </c>
      <c r="J100" s="78">
        <v>0</v>
      </c>
      <c r="K100" s="78">
        <v>0</v>
      </c>
      <c r="L100" s="118">
        <f>'NOM REAL'!F182</f>
        <v>0</v>
      </c>
      <c r="M100" s="118">
        <f t="shared" si="113"/>
        <v>0</v>
      </c>
      <c r="N100" s="101">
        <f t="shared" si="114"/>
        <v>741.87</v>
      </c>
      <c r="O100" s="101">
        <f t="shared" si="115"/>
        <v>0</v>
      </c>
      <c r="P100" s="101">
        <f t="shared" si="116"/>
        <v>0</v>
      </c>
      <c r="Q100" s="101">
        <f t="shared" si="117"/>
        <v>0</v>
      </c>
      <c r="R100" s="101">
        <f t="shared" si="118"/>
        <v>0</v>
      </c>
      <c r="S100" s="101">
        <f t="shared" si="119"/>
        <v>0</v>
      </c>
      <c r="T100" s="101">
        <f t="shared" si="120"/>
        <v>0</v>
      </c>
      <c r="U100" s="101">
        <f t="shared" si="121"/>
        <v>741.87</v>
      </c>
      <c r="V100" s="119"/>
      <c r="W100" s="101">
        <f t="shared" si="122"/>
        <v>0</v>
      </c>
      <c r="X100" s="101" t="e">
        <f>+ROUND(H100*M100*(VLOOKUP(M100,TABLAS!$B$29:$D$35,3,1)+1.125%),2)</f>
        <v>#N/A</v>
      </c>
      <c r="Y100" s="101">
        <f t="shared" si="123"/>
        <v>0</v>
      </c>
      <c r="Z100" s="101" t="e">
        <f t="shared" si="124"/>
        <v>#N/A</v>
      </c>
      <c r="AA100" s="100"/>
      <c r="AB100" s="101">
        <f t="shared" si="125"/>
        <v>741.87</v>
      </c>
      <c r="AC100" s="101" t="e">
        <f t="shared" si="126"/>
        <v>#N/A</v>
      </c>
      <c r="AD100" s="101">
        <f t="shared" si="127"/>
        <v>0</v>
      </c>
      <c r="AE100" s="101" t="e">
        <f t="shared" si="128"/>
        <v>#N/A</v>
      </c>
      <c r="AF100" s="119"/>
      <c r="AG100" s="101" t="e">
        <f t="shared" si="129"/>
        <v>#N/A</v>
      </c>
      <c r="AH100" s="101" t="e">
        <f t="shared" si="130"/>
        <v>#N/A</v>
      </c>
      <c r="AI100" s="101" t="e">
        <f t="shared" si="131"/>
        <v>#N/A</v>
      </c>
      <c r="AJ100" s="101" t="e">
        <f t="shared" si="132"/>
        <v>#N/A</v>
      </c>
      <c r="AK100" s="101" t="e">
        <f t="shared" si="133"/>
        <v>#N/A</v>
      </c>
      <c r="AL100" s="120" t="e">
        <f>AM100*'NOM REAL'!E182</f>
        <v>#N/A</v>
      </c>
      <c r="AM100" s="101" t="e">
        <f t="shared" si="134"/>
        <v>#N/A</v>
      </c>
    </row>
    <row r="101" spans="1:39" s="40" customFormat="1" ht="12.5" x14ac:dyDescent="0.25">
      <c r="A101" s="24">
        <f t="shared" si="88"/>
        <v>95</v>
      </c>
      <c r="B101" s="24"/>
      <c r="C101" s="24"/>
      <c r="D101" s="24"/>
      <c r="E101" s="24"/>
      <c r="F101" s="115">
        <f>'NOM REAL'!B183</f>
        <v>0</v>
      </c>
      <c r="G101" s="78" t="str">
        <f>NOMINA!C101</f>
        <v>Emp 095</v>
      </c>
      <c r="H101" s="117">
        <f t="shared" si="112"/>
        <v>31</v>
      </c>
      <c r="I101" s="78">
        <v>31</v>
      </c>
      <c r="J101" s="78">
        <v>0</v>
      </c>
      <c r="K101" s="78">
        <v>0</v>
      </c>
      <c r="L101" s="118">
        <f>'NOM REAL'!F183</f>
        <v>0</v>
      </c>
      <c r="M101" s="118">
        <f t="shared" si="113"/>
        <v>0</v>
      </c>
      <c r="N101" s="101">
        <f t="shared" si="114"/>
        <v>741.87</v>
      </c>
      <c r="O101" s="101">
        <f t="shared" si="115"/>
        <v>0</v>
      </c>
      <c r="P101" s="101">
        <f t="shared" si="116"/>
        <v>0</v>
      </c>
      <c r="Q101" s="101">
        <f t="shared" si="117"/>
        <v>0</v>
      </c>
      <c r="R101" s="101">
        <f t="shared" si="118"/>
        <v>0</v>
      </c>
      <c r="S101" s="101">
        <f t="shared" si="119"/>
        <v>0</v>
      </c>
      <c r="T101" s="101">
        <f t="shared" si="120"/>
        <v>0</v>
      </c>
      <c r="U101" s="101">
        <f t="shared" si="121"/>
        <v>741.87</v>
      </c>
      <c r="V101" s="119"/>
      <c r="W101" s="101">
        <f t="shared" si="122"/>
        <v>0</v>
      </c>
      <c r="X101" s="101" t="e">
        <f>+ROUND(H101*M101*(VLOOKUP(M101,TABLAS!$B$29:$D$35,3,1)+1.125%),2)</f>
        <v>#N/A</v>
      </c>
      <c r="Y101" s="101">
        <f t="shared" si="123"/>
        <v>0</v>
      </c>
      <c r="Z101" s="101" t="e">
        <f t="shared" si="124"/>
        <v>#N/A</v>
      </c>
      <c r="AA101" s="100"/>
      <c r="AB101" s="101">
        <f t="shared" si="125"/>
        <v>741.87</v>
      </c>
      <c r="AC101" s="101" t="e">
        <f t="shared" si="126"/>
        <v>#N/A</v>
      </c>
      <c r="AD101" s="101">
        <f t="shared" si="127"/>
        <v>0</v>
      </c>
      <c r="AE101" s="101" t="e">
        <f t="shared" si="128"/>
        <v>#N/A</v>
      </c>
      <c r="AF101" s="119"/>
      <c r="AG101" s="101" t="e">
        <f t="shared" si="129"/>
        <v>#N/A</v>
      </c>
      <c r="AH101" s="101" t="e">
        <f t="shared" si="130"/>
        <v>#N/A</v>
      </c>
      <c r="AI101" s="101" t="e">
        <f t="shared" si="131"/>
        <v>#N/A</v>
      </c>
      <c r="AJ101" s="101" t="e">
        <f t="shared" si="132"/>
        <v>#N/A</v>
      </c>
      <c r="AK101" s="101" t="e">
        <f t="shared" si="133"/>
        <v>#N/A</v>
      </c>
      <c r="AL101" s="120" t="e">
        <f>AM101*'NOM REAL'!E183</f>
        <v>#N/A</v>
      </c>
      <c r="AM101" s="101" t="e">
        <f t="shared" si="134"/>
        <v>#N/A</v>
      </c>
    </row>
    <row r="102" spans="1:39" s="40" customFormat="1" ht="12.5" x14ac:dyDescent="0.25">
      <c r="A102" s="24">
        <f t="shared" si="88"/>
        <v>96</v>
      </c>
      <c r="B102" s="24"/>
      <c r="C102" s="24"/>
      <c r="D102" s="24"/>
      <c r="E102" s="24"/>
      <c r="F102" s="115">
        <f>'NOM REAL'!B184</f>
        <v>0</v>
      </c>
      <c r="G102" s="78" t="str">
        <f>NOMINA!C102</f>
        <v>Emp 096</v>
      </c>
      <c r="H102" s="117">
        <f t="shared" si="112"/>
        <v>31</v>
      </c>
      <c r="I102" s="78">
        <v>31</v>
      </c>
      <c r="J102" s="78">
        <v>0</v>
      </c>
      <c r="K102" s="78">
        <v>0</v>
      </c>
      <c r="L102" s="118">
        <f>'NOM REAL'!F184</f>
        <v>0</v>
      </c>
      <c r="M102" s="118">
        <f t="shared" si="113"/>
        <v>0</v>
      </c>
      <c r="N102" s="101">
        <f t="shared" si="114"/>
        <v>741.87</v>
      </c>
      <c r="O102" s="101">
        <f t="shared" si="115"/>
        <v>0</v>
      </c>
      <c r="P102" s="101">
        <f t="shared" si="116"/>
        <v>0</v>
      </c>
      <c r="Q102" s="101">
        <f t="shared" si="117"/>
        <v>0</v>
      </c>
      <c r="R102" s="101">
        <f t="shared" si="118"/>
        <v>0</v>
      </c>
      <c r="S102" s="101">
        <f t="shared" si="119"/>
        <v>0</v>
      </c>
      <c r="T102" s="101">
        <f t="shared" si="120"/>
        <v>0</v>
      </c>
      <c r="U102" s="101">
        <f t="shared" si="121"/>
        <v>741.87</v>
      </c>
      <c r="V102" s="119"/>
      <c r="W102" s="101">
        <f t="shared" si="122"/>
        <v>0</v>
      </c>
      <c r="X102" s="101" t="e">
        <f>+ROUND(H102*M102*(VLOOKUP(M102,TABLAS!$B$29:$D$35,3,1)+1.125%),2)</f>
        <v>#N/A</v>
      </c>
      <c r="Y102" s="101">
        <f t="shared" si="123"/>
        <v>0</v>
      </c>
      <c r="Z102" s="101" t="e">
        <f t="shared" si="124"/>
        <v>#N/A</v>
      </c>
      <c r="AA102" s="100"/>
      <c r="AB102" s="101">
        <f t="shared" si="125"/>
        <v>741.87</v>
      </c>
      <c r="AC102" s="101" t="e">
        <f t="shared" si="126"/>
        <v>#N/A</v>
      </c>
      <c r="AD102" s="101">
        <f t="shared" si="127"/>
        <v>0</v>
      </c>
      <c r="AE102" s="101" t="e">
        <f t="shared" si="128"/>
        <v>#N/A</v>
      </c>
      <c r="AF102" s="119"/>
      <c r="AG102" s="101" t="e">
        <f t="shared" si="129"/>
        <v>#N/A</v>
      </c>
      <c r="AH102" s="101" t="e">
        <f t="shared" si="130"/>
        <v>#N/A</v>
      </c>
      <c r="AI102" s="101" t="e">
        <f t="shared" si="131"/>
        <v>#N/A</v>
      </c>
      <c r="AJ102" s="101" t="e">
        <f t="shared" si="132"/>
        <v>#N/A</v>
      </c>
      <c r="AK102" s="101" t="e">
        <f t="shared" si="133"/>
        <v>#N/A</v>
      </c>
      <c r="AL102" s="120" t="e">
        <f>AM102*'NOM REAL'!E184</f>
        <v>#N/A</v>
      </c>
      <c r="AM102" s="101" t="e">
        <f t="shared" si="134"/>
        <v>#N/A</v>
      </c>
    </row>
    <row r="103" spans="1:39" s="40" customFormat="1" ht="12.5" x14ac:dyDescent="0.25">
      <c r="A103" s="24">
        <f t="shared" si="88"/>
        <v>97</v>
      </c>
      <c r="B103" s="24"/>
      <c r="C103" s="24"/>
      <c r="D103" s="24"/>
      <c r="E103" s="24"/>
      <c r="F103" s="115">
        <f>'NOM REAL'!B185</f>
        <v>0</v>
      </c>
      <c r="G103" s="78" t="str">
        <f>NOMINA!C103</f>
        <v>Emp 097</v>
      </c>
      <c r="H103" s="117">
        <f t="shared" si="112"/>
        <v>31</v>
      </c>
      <c r="I103" s="78">
        <v>31</v>
      </c>
      <c r="J103" s="78">
        <v>0</v>
      </c>
      <c r="K103" s="78">
        <v>0</v>
      </c>
      <c r="L103" s="118">
        <f>'NOM REAL'!F185</f>
        <v>0</v>
      </c>
      <c r="M103" s="118">
        <f t="shared" si="113"/>
        <v>0</v>
      </c>
      <c r="N103" s="101">
        <f t="shared" si="114"/>
        <v>741.87</v>
      </c>
      <c r="O103" s="101">
        <f t="shared" si="115"/>
        <v>0</v>
      </c>
      <c r="P103" s="101">
        <f t="shared" si="116"/>
        <v>0</v>
      </c>
      <c r="Q103" s="101">
        <f t="shared" si="117"/>
        <v>0</v>
      </c>
      <c r="R103" s="101">
        <f t="shared" si="118"/>
        <v>0</v>
      </c>
      <c r="S103" s="101">
        <f t="shared" si="119"/>
        <v>0</v>
      </c>
      <c r="T103" s="101">
        <f t="shared" si="120"/>
        <v>0</v>
      </c>
      <c r="U103" s="101">
        <f t="shared" si="121"/>
        <v>741.87</v>
      </c>
      <c r="V103" s="119"/>
      <c r="W103" s="101">
        <f t="shared" si="122"/>
        <v>0</v>
      </c>
      <c r="X103" s="101" t="e">
        <f>+ROUND(H103*M103*(VLOOKUP(M103,TABLAS!$B$29:$D$35,3,1)+1.125%),2)</f>
        <v>#N/A</v>
      </c>
      <c r="Y103" s="101">
        <f t="shared" si="123"/>
        <v>0</v>
      </c>
      <c r="Z103" s="101" t="e">
        <f t="shared" si="124"/>
        <v>#N/A</v>
      </c>
      <c r="AA103" s="100"/>
      <c r="AB103" s="101">
        <f t="shared" si="125"/>
        <v>741.87</v>
      </c>
      <c r="AC103" s="101" t="e">
        <f t="shared" si="126"/>
        <v>#N/A</v>
      </c>
      <c r="AD103" s="101">
        <f t="shared" si="127"/>
        <v>0</v>
      </c>
      <c r="AE103" s="101" t="e">
        <f t="shared" si="128"/>
        <v>#N/A</v>
      </c>
      <c r="AF103" s="119"/>
      <c r="AG103" s="101" t="e">
        <f t="shared" si="129"/>
        <v>#N/A</v>
      </c>
      <c r="AH103" s="101" t="e">
        <f t="shared" si="130"/>
        <v>#N/A</v>
      </c>
      <c r="AI103" s="101" t="e">
        <f t="shared" si="131"/>
        <v>#N/A</v>
      </c>
      <c r="AJ103" s="101" t="e">
        <f t="shared" si="132"/>
        <v>#N/A</v>
      </c>
      <c r="AK103" s="101" t="e">
        <f t="shared" si="133"/>
        <v>#N/A</v>
      </c>
      <c r="AL103" s="120" t="e">
        <f>AM103*'NOM REAL'!E185</f>
        <v>#N/A</v>
      </c>
      <c r="AM103" s="101" t="e">
        <f t="shared" si="134"/>
        <v>#N/A</v>
      </c>
    </row>
    <row r="104" spans="1:39" s="40" customFormat="1" ht="12.5" x14ac:dyDescent="0.25">
      <c r="A104" s="24">
        <f t="shared" si="88"/>
        <v>98</v>
      </c>
      <c r="B104" s="24"/>
      <c r="C104" s="24"/>
      <c r="D104" s="24"/>
      <c r="E104" s="24"/>
      <c r="F104" s="115">
        <f>'NOM REAL'!B186</f>
        <v>0</v>
      </c>
      <c r="G104" s="78" t="str">
        <f>NOMINA!C104</f>
        <v>Emp 098</v>
      </c>
      <c r="H104" s="117">
        <f t="shared" ref="H104" si="135">+I104-J104-K104</f>
        <v>31</v>
      </c>
      <c r="I104" s="78">
        <v>31</v>
      </c>
      <c r="J104" s="78">
        <v>0</v>
      </c>
      <c r="K104" s="78">
        <v>0</v>
      </c>
      <c r="L104" s="118">
        <f>'NOM REAL'!F186</f>
        <v>0</v>
      </c>
      <c r="M104" s="118">
        <f t="shared" ref="M104" si="136">IF(L104*1.0493&gt;$L$2*25,$L$2*25,L104*1.0493)</f>
        <v>0</v>
      </c>
      <c r="N104" s="101">
        <f t="shared" ref="N104" si="137">+ROUND($L$2*$N$6*I104,2)</f>
        <v>741.87</v>
      </c>
      <c r="O104" s="101">
        <f t="shared" ref="O104" si="138">+IF(M104&gt;$M$2,M104-$M$2,0)*$O$6*I104</f>
        <v>0</v>
      </c>
      <c r="P104" s="101">
        <f t="shared" ref="P104" si="139">+ROUND(M104*$P$6*I104,2)</f>
        <v>0</v>
      </c>
      <c r="Q104" s="101">
        <f t="shared" ref="Q104" si="140">+ROUND(M104*$Q$6*I104,2)</f>
        <v>0</v>
      </c>
      <c r="R104" s="101">
        <f t="shared" ref="R104" si="141">+ROUND(M104*$R$6*I104,2)</f>
        <v>0</v>
      </c>
      <c r="S104" s="101">
        <f t="shared" ref="S104" si="142">+ROUND(M104*$S$6*I104,2)</f>
        <v>0</v>
      </c>
      <c r="T104" s="101">
        <f t="shared" ref="T104" si="143">+ROUND(M104*$T$6*I104,2)</f>
        <v>0</v>
      </c>
      <c r="U104" s="101">
        <f t="shared" ref="U104" si="144">+SUM(N104:T104)</f>
        <v>741.87</v>
      </c>
      <c r="V104" s="119"/>
      <c r="W104" s="101">
        <f t="shared" ref="W104" si="145">+ROUND(I104*M104*$W$6,2)</f>
        <v>0</v>
      </c>
      <c r="X104" s="101" t="e">
        <f>+ROUND(H104*M104*(VLOOKUP(M104,TABLAS!$B$29:$D$35,3,1)+1.125%),2)</f>
        <v>#N/A</v>
      </c>
      <c r="Y104" s="101">
        <f t="shared" ref="Y104" si="146">+ROUND(H104*M104*$Y$6,2)</f>
        <v>0</v>
      </c>
      <c r="Z104" s="101" t="e">
        <f t="shared" ref="Z104" si="147">+SUM(W104:Y104)</f>
        <v>#N/A</v>
      </c>
      <c r="AA104" s="100"/>
      <c r="AB104" s="101">
        <f t="shared" ref="AB104" si="148">+U104</f>
        <v>741.87</v>
      </c>
      <c r="AC104" s="101" t="e">
        <f t="shared" ref="AC104" si="149">+Z104</f>
        <v>#N/A</v>
      </c>
      <c r="AD104" s="101">
        <f t="shared" ref="AD104" si="150">+H104*L104*4%</f>
        <v>0</v>
      </c>
      <c r="AE104" s="101" t="e">
        <f t="shared" ref="AE104" si="151">+SUM(AB104:AD104)</f>
        <v>#N/A</v>
      </c>
      <c r="AF104" s="119"/>
      <c r="AG104" s="101" t="e">
        <f t="shared" ref="AG104" si="152">+AE104+AJ104</f>
        <v>#N/A</v>
      </c>
      <c r="AH104" s="101" t="e">
        <f t="shared" ref="AH104" si="153">+AG104*16%</f>
        <v>#N/A</v>
      </c>
      <c r="AI104" s="101" t="e">
        <f t="shared" ref="AI104" si="154">+AG104+AH104</f>
        <v>#N/A</v>
      </c>
      <c r="AJ104" s="101" t="e">
        <f t="shared" ref="AJ104" si="155">+AE104*7.21%</f>
        <v>#N/A</v>
      </c>
      <c r="AK104" s="101" t="e">
        <f t="shared" ref="AK104" si="156">+AG104/2</f>
        <v>#N/A</v>
      </c>
      <c r="AL104" s="120" t="e">
        <f>AM104*'NOM REAL'!E186</f>
        <v>#N/A</v>
      </c>
      <c r="AM104" s="101" t="e">
        <f t="shared" ref="AM104" si="157">AE104/30.4</f>
        <v>#N/A</v>
      </c>
    </row>
    <row r="105" spans="1:39" s="40" customFormat="1" ht="12.5" x14ac:dyDescent="0.25">
      <c r="A105" s="24"/>
      <c r="B105" s="24"/>
      <c r="C105" s="24"/>
      <c r="D105" s="24"/>
      <c r="E105" s="24"/>
      <c r="F105" s="25"/>
      <c r="G105" s="25"/>
      <c r="H105" s="27"/>
      <c r="I105" s="24"/>
      <c r="J105" s="24"/>
      <c r="K105" s="24"/>
      <c r="L105" s="28"/>
      <c r="M105" s="28"/>
      <c r="N105" s="39"/>
      <c r="O105" s="39"/>
      <c r="P105" s="39"/>
      <c r="Q105" s="39"/>
      <c r="R105" s="39"/>
      <c r="S105" s="39"/>
      <c r="T105" s="39"/>
      <c r="U105" s="39"/>
      <c r="V105" s="23"/>
      <c r="W105" s="39"/>
      <c r="X105" s="39"/>
      <c r="Y105" s="39"/>
      <c r="Z105" s="39"/>
      <c r="AA105" s="23"/>
      <c r="AB105" s="39"/>
      <c r="AC105" s="39"/>
      <c r="AD105" s="39"/>
      <c r="AE105" s="39"/>
      <c r="AF105" s="23"/>
      <c r="AG105" s="39"/>
      <c r="AH105" s="39"/>
      <c r="AI105" s="39"/>
      <c r="AJ105" s="39"/>
      <c r="AK105" s="39"/>
      <c r="AL105" s="46"/>
      <c r="AM105" s="46"/>
    </row>
    <row r="106" spans="1:39" s="32" customFormat="1" ht="12" thickBot="1" x14ac:dyDescent="0.3">
      <c r="A106" s="24"/>
      <c r="B106" s="24"/>
      <c r="C106" s="24"/>
      <c r="D106" s="24"/>
      <c r="E106" s="24"/>
      <c r="F106" s="33" t="s">
        <v>30</v>
      </c>
      <c r="H106" s="27">
        <f>+SUM(H7:H7)</f>
        <v>31</v>
      </c>
      <c r="I106" s="27"/>
      <c r="J106" s="27"/>
      <c r="K106" s="27"/>
      <c r="N106" s="41">
        <f>+SUM(N7:N104)</f>
        <v>72703.260000000053</v>
      </c>
      <c r="O106" s="41">
        <f t="shared" ref="O106:AM106" si="158">+SUM(O7:O104)</f>
        <v>0</v>
      </c>
      <c r="P106" s="41">
        <f t="shared" si="158"/>
        <v>0</v>
      </c>
      <c r="Q106" s="41">
        <f t="shared" si="158"/>
        <v>0</v>
      </c>
      <c r="R106" s="41">
        <f t="shared" si="158"/>
        <v>0</v>
      </c>
      <c r="S106" s="41">
        <f t="shared" si="158"/>
        <v>0</v>
      </c>
      <c r="T106" s="41">
        <f t="shared" si="158"/>
        <v>0</v>
      </c>
      <c r="U106" s="41">
        <f t="shared" si="158"/>
        <v>72703.260000000053</v>
      </c>
      <c r="V106" s="41">
        <f t="shared" si="158"/>
        <v>0</v>
      </c>
      <c r="W106" s="41">
        <f t="shared" si="158"/>
        <v>0</v>
      </c>
      <c r="X106" s="41" t="e">
        <f t="shared" si="158"/>
        <v>#N/A</v>
      </c>
      <c r="Y106" s="41">
        <f t="shared" si="158"/>
        <v>0</v>
      </c>
      <c r="Z106" s="41" t="e">
        <f t="shared" si="158"/>
        <v>#N/A</v>
      </c>
      <c r="AA106" s="41">
        <f t="shared" si="158"/>
        <v>0</v>
      </c>
      <c r="AB106" s="41">
        <f t="shared" si="158"/>
        <v>72703.260000000053</v>
      </c>
      <c r="AC106" s="41" t="e">
        <f t="shared" si="158"/>
        <v>#N/A</v>
      </c>
      <c r="AD106" s="41">
        <f t="shared" si="158"/>
        <v>0</v>
      </c>
      <c r="AE106" s="41" t="e">
        <f t="shared" si="158"/>
        <v>#N/A</v>
      </c>
      <c r="AF106" s="41">
        <f t="shared" si="158"/>
        <v>0</v>
      </c>
      <c r="AG106" s="41" t="e">
        <f t="shared" si="158"/>
        <v>#N/A</v>
      </c>
      <c r="AH106" s="41" t="e">
        <f t="shared" si="158"/>
        <v>#N/A</v>
      </c>
      <c r="AI106" s="41" t="e">
        <f t="shared" si="158"/>
        <v>#N/A</v>
      </c>
      <c r="AJ106" s="41" t="e">
        <f t="shared" si="158"/>
        <v>#N/A</v>
      </c>
      <c r="AK106" s="41" t="e">
        <f t="shared" si="158"/>
        <v>#N/A</v>
      </c>
      <c r="AL106" s="41" t="e">
        <f t="shared" si="158"/>
        <v>#N/A</v>
      </c>
      <c r="AM106" s="41" t="e">
        <f t="shared" si="158"/>
        <v>#N/A</v>
      </c>
    </row>
    <row r="107" spans="1:39" ht="12" thickTop="1" x14ac:dyDescent="0.25">
      <c r="A107" s="24"/>
      <c r="B107" s="24"/>
      <c r="C107" s="24"/>
      <c r="D107" s="24"/>
      <c r="E107" s="24"/>
      <c r="N107" s="29"/>
    </row>
    <row r="108" spans="1:39" ht="11.5" x14ac:dyDescent="0.25">
      <c r="A108" s="24"/>
      <c r="B108" s="24"/>
      <c r="C108" s="24"/>
      <c r="D108" s="24"/>
      <c r="E108" s="24"/>
      <c r="H108" s="38"/>
      <c r="I108" s="38"/>
      <c r="J108" s="38"/>
      <c r="K108" s="38"/>
      <c r="U108" s="29"/>
      <c r="W108" s="34"/>
      <c r="X108" s="34"/>
      <c r="Y108" s="34"/>
      <c r="Z108" s="34"/>
      <c r="AC108" s="29"/>
      <c r="AJ108" s="42" t="e">
        <f>+AJ106*2</f>
        <v>#N/A</v>
      </c>
    </row>
    <row r="109" spans="1:39" ht="11.5" x14ac:dyDescent="0.25">
      <c r="A109" s="32"/>
      <c r="B109" s="32"/>
      <c r="C109" s="32"/>
      <c r="D109" s="32"/>
      <c r="E109" s="32"/>
    </row>
    <row r="110" spans="1:39" ht="11.5" x14ac:dyDescent="0.25">
      <c r="AC110" s="22"/>
    </row>
  </sheetData>
  <mergeCells count="25">
    <mergeCell ref="N4:Q4"/>
    <mergeCell ref="AB4:AE4"/>
    <mergeCell ref="A5:A6"/>
    <mergeCell ref="F5:F6"/>
    <mergeCell ref="G5:G6"/>
    <mergeCell ref="H5:H6"/>
    <mergeCell ref="I5:I6"/>
    <mergeCell ref="J5:J6"/>
    <mergeCell ref="K5:K6"/>
    <mergeCell ref="L5:L6"/>
    <mergeCell ref="M5:M6"/>
    <mergeCell ref="U5:U6"/>
    <mergeCell ref="Z5:Z6"/>
    <mergeCell ref="X5:X6"/>
    <mergeCell ref="AL5:AL6"/>
    <mergeCell ref="AM5:AM6"/>
    <mergeCell ref="AB5:AB6"/>
    <mergeCell ref="AC5:AC6"/>
    <mergeCell ref="AD5:AD6"/>
    <mergeCell ref="AE5:AE6"/>
    <mergeCell ref="AG5:AG6"/>
    <mergeCell ref="AH5:AH6"/>
    <mergeCell ref="AJ4:AJ6"/>
    <mergeCell ref="AG4:AI4"/>
    <mergeCell ref="AI5:AI6"/>
  </mergeCells>
  <phoneticPr fontId="28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TABLAS</vt:lpstr>
      <vt:lpstr>NOMINA</vt:lpstr>
      <vt:lpstr>IMSS</vt:lpstr>
      <vt:lpstr>NOM REAL</vt:lpstr>
      <vt:lpstr>IMSS REAL</vt:lpstr>
      <vt:lpstr>NOMINA!Área_de_impresión</vt:lpstr>
      <vt:lpstr>IMSS!Títulos_a_imprimir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Candiani</dc:creator>
  <cp:lastModifiedBy>MC</cp:lastModifiedBy>
  <cp:lastPrinted>2014-10-07T18:04:17Z</cp:lastPrinted>
  <dcterms:created xsi:type="dcterms:W3CDTF">2010-11-25T22:34:41Z</dcterms:created>
  <dcterms:modified xsi:type="dcterms:W3CDTF">2026-03-04T21:59:33Z</dcterms:modified>
</cp:coreProperties>
</file>