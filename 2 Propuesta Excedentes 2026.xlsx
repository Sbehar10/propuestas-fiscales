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Nueva carpeta\2.- INTELLISHS 2024\FORMATOS\2026\"/>
    </mc:Choice>
  </mc:AlternateContent>
  <xr:revisionPtr revIDLastSave="0" documentId="13_ncr:1_{DC0E15F3-4D74-4C94-9280-C2A29AF573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CEDENTES" sheetId="14" r:id="rId1"/>
    <sheet name="Hoja1" sheetId="9" state="hidden" r:id="rId2"/>
  </sheets>
  <externalReferences>
    <externalReference r:id="rId3"/>
    <externalReference r:id="rId4"/>
  </externalReferences>
  <definedNames>
    <definedName name="_xlnm._FilterDatabase" localSheetId="0" hidden="1">EXCEDENTES!$A$3:$L$19</definedName>
    <definedName name="A">[1]ISR!#REF!</definedName>
    <definedName name="AS">[1]ISR!#REF!</definedName>
    <definedName name="B">[2]ISR!#REF!</definedName>
    <definedName name="CREDITOS">[1]ISR!#REF!</definedName>
    <definedName name="CREDITOS02">[1]CREDITOS!#REF!</definedName>
    <definedName name="CREDITOSIMPAC">[1]ISR!#REF!</definedName>
    <definedName name="D">[1]ISR!#REF!</definedName>
    <definedName name="DEUDAS">[1]ISR!#REF!</definedName>
    <definedName name="DISEÑO">[1]ISR!#REF!</definedName>
    <definedName name="E">[1]ISR!#REF!</definedName>
    <definedName name="HOJA">[1]ISR!#REF!</definedName>
    <definedName name="HOJA1">[1]CREDITOS!#REF!</definedName>
    <definedName name="INTERESES">[2]ISR!#REF!</definedName>
    <definedName name="OTROS_DATOS">#REF!</definedName>
    <definedName name="RESUMEN_IMPAC">#REF!</definedName>
  </definedNames>
  <calcPr calcId="191029"/>
</workbook>
</file>

<file path=xl/calcChain.xml><?xml version="1.0" encoding="utf-8"?>
<calcChain xmlns="http://schemas.openxmlformats.org/spreadsheetml/2006/main">
  <c r="D150" i="14" l="1"/>
  <c r="C150" i="14"/>
  <c r="E146" i="14"/>
  <c r="F146" i="14" s="1"/>
  <c r="E145" i="14"/>
  <c r="F145" i="14" s="1"/>
  <c r="E144" i="14"/>
  <c r="F144" i="14" s="1"/>
  <c r="E143" i="14"/>
  <c r="F143" i="14" s="1"/>
  <c r="E142" i="14"/>
  <c r="F142" i="14" s="1"/>
  <c r="E141" i="14"/>
  <c r="F141" i="14" s="1"/>
  <c r="E140" i="14"/>
  <c r="F140" i="14" s="1"/>
  <c r="E139" i="14"/>
  <c r="F139" i="14" s="1"/>
  <c r="E138" i="14"/>
  <c r="F138" i="14" s="1"/>
  <c r="E137" i="14"/>
  <c r="F137" i="14" s="1"/>
  <c r="E136" i="14"/>
  <c r="F136" i="14" s="1"/>
  <c r="E135" i="14"/>
  <c r="F135" i="14" s="1"/>
  <c r="E134" i="14"/>
  <c r="F134" i="14" s="1"/>
  <c r="E133" i="14"/>
  <c r="F133" i="14" s="1"/>
  <c r="E132" i="14"/>
  <c r="F132" i="14" s="1"/>
  <c r="E131" i="14"/>
  <c r="F131" i="14" s="1"/>
  <c r="E130" i="14"/>
  <c r="F130" i="14" s="1"/>
  <c r="E129" i="14"/>
  <c r="F129" i="14" s="1"/>
  <c r="E128" i="14"/>
  <c r="F128" i="14" s="1"/>
  <c r="E127" i="14"/>
  <c r="F127" i="14" s="1"/>
  <c r="E126" i="14"/>
  <c r="F126" i="14" s="1"/>
  <c r="E125" i="14"/>
  <c r="F125" i="14" s="1"/>
  <c r="E124" i="14"/>
  <c r="F124" i="14" s="1"/>
  <c r="E123" i="14"/>
  <c r="F123" i="14" s="1"/>
  <c r="E122" i="14"/>
  <c r="F122" i="14" s="1"/>
  <c r="E121" i="14"/>
  <c r="F121" i="14" s="1"/>
  <c r="E120" i="14"/>
  <c r="F120" i="14" s="1"/>
  <c r="E119" i="14"/>
  <c r="F119" i="14" s="1"/>
  <c r="E118" i="14"/>
  <c r="F118" i="14" s="1"/>
  <c r="E117" i="14"/>
  <c r="F117" i="14" s="1"/>
  <c r="E116" i="14"/>
  <c r="F116" i="14" s="1"/>
  <c r="E115" i="14"/>
  <c r="F115" i="14" s="1"/>
  <c r="E113" i="14"/>
  <c r="F113" i="14" s="1"/>
  <c r="E112" i="14"/>
  <c r="F112" i="14" s="1"/>
  <c r="E111" i="14"/>
  <c r="F111" i="14" s="1"/>
  <c r="E110" i="14"/>
  <c r="F110" i="14" s="1"/>
  <c r="E109" i="14"/>
  <c r="F109" i="14" s="1"/>
  <c r="E108" i="14"/>
  <c r="F108" i="14" s="1"/>
  <c r="E107" i="14"/>
  <c r="F107" i="14" s="1"/>
  <c r="E106" i="14"/>
  <c r="F106" i="14" s="1"/>
  <c r="E105" i="14"/>
  <c r="F105" i="14" s="1"/>
  <c r="E104" i="14"/>
  <c r="F104" i="14" s="1"/>
  <c r="E103" i="14"/>
  <c r="F103" i="14" s="1"/>
  <c r="E102" i="14"/>
  <c r="F102" i="14" s="1"/>
  <c r="E101" i="14"/>
  <c r="F101" i="14" s="1"/>
  <c r="E100" i="14"/>
  <c r="F100" i="14" s="1"/>
  <c r="E99" i="14"/>
  <c r="F99" i="14" s="1"/>
  <c r="E98" i="14"/>
  <c r="F98" i="14" s="1"/>
  <c r="E97" i="14"/>
  <c r="F97" i="14" s="1"/>
  <c r="E96" i="14"/>
  <c r="F96" i="14" s="1"/>
  <c r="E95" i="14"/>
  <c r="F95" i="14" s="1"/>
  <c r="E94" i="14"/>
  <c r="F94" i="14" s="1"/>
  <c r="E93" i="14"/>
  <c r="F93" i="14" s="1"/>
  <c r="E92" i="14"/>
  <c r="F92" i="14" s="1"/>
  <c r="E91" i="14"/>
  <c r="F91" i="14" s="1"/>
  <c r="E90" i="14"/>
  <c r="F90" i="14" s="1"/>
  <c r="E89" i="14"/>
  <c r="F89" i="14" s="1"/>
  <c r="E88" i="14"/>
  <c r="F88" i="14" s="1"/>
  <c r="E87" i="14"/>
  <c r="F87" i="14" s="1"/>
  <c r="E86" i="14"/>
  <c r="F86" i="14" s="1"/>
  <c r="E85" i="14"/>
  <c r="F85" i="14" s="1"/>
  <c r="E84" i="14"/>
  <c r="F84" i="14" s="1"/>
  <c r="E83" i="14"/>
  <c r="F83" i="14" s="1"/>
  <c r="E82" i="14"/>
  <c r="F82" i="14" s="1"/>
  <c r="E81" i="14"/>
  <c r="F81" i="14" s="1"/>
  <c r="E80" i="14"/>
  <c r="F80" i="14" s="1"/>
  <c r="E79" i="14"/>
  <c r="F79" i="14" s="1"/>
  <c r="E78" i="14"/>
  <c r="F78" i="14" s="1"/>
  <c r="E77" i="14"/>
  <c r="F77" i="14" s="1"/>
  <c r="E76" i="14"/>
  <c r="F76" i="14" s="1"/>
  <c r="E75" i="14"/>
  <c r="F75" i="14" s="1"/>
  <c r="E74" i="14"/>
  <c r="F74" i="14" s="1"/>
  <c r="E73" i="14"/>
  <c r="F73" i="14" s="1"/>
  <c r="E72" i="14"/>
  <c r="F72" i="14" s="1"/>
  <c r="E71" i="14"/>
  <c r="F71" i="14" s="1"/>
  <c r="E70" i="14"/>
  <c r="F70" i="14" s="1"/>
  <c r="E69" i="14"/>
  <c r="F69" i="14" s="1"/>
  <c r="E68" i="14"/>
  <c r="F68" i="14" s="1"/>
  <c r="E67" i="14"/>
  <c r="F67" i="14" s="1"/>
  <c r="E66" i="14"/>
  <c r="F66" i="14" s="1"/>
  <c r="E65" i="14"/>
  <c r="F65" i="14" s="1"/>
  <c r="E64" i="14"/>
  <c r="F64" i="14" s="1"/>
  <c r="E63" i="14"/>
  <c r="F63" i="14" s="1"/>
  <c r="E62" i="14"/>
  <c r="F62" i="14" s="1"/>
  <c r="E61" i="14"/>
  <c r="F61" i="14" s="1"/>
  <c r="E60" i="14"/>
  <c r="F60" i="14" s="1"/>
  <c r="E59" i="14"/>
  <c r="F59" i="14" s="1"/>
  <c r="E58" i="14"/>
  <c r="F58" i="14" s="1"/>
  <c r="E57" i="14"/>
  <c r="F57" i="14" s="1"/>
  <c r="E56" i="14"/>
  <c r="F56" i="14" s="1"/>
  <c r="E55" i="14"/>
  <c r="F55" i="14" s="1"/>
  <c r="E54" i="14"/>
  <c r="F54" i="14" s="1"/>
  <c r="E53" i="14"/>
  <c r="F53" i="14" s="1"/>
  <c r="E52" i="14"/>
  <c r="F52" i="14" s="1"/>
  <c r="E51" i="14"/>
  <c r="F51" i="14" s="1"/>
  <c r="E50" i="14"/>
  <c r="F50" i="14" s="1"/>
  <c r="E49" i="14"/>
  <c r="F49" i="14" s="1"/>
  <c r="E48" i="14"/>
  <c r="F48" i="14" s="1"/>
  <c r="E47" i="14"/>
  <c r="F47" i="14" s="1"/>
  <c r="E46" i="14"/>
  <c r="F46" i="14" s="1"/>
  <c r="E45" i="14"/>
  <c r="F45" i="14" s="1"/>
  <c r="E44" i="14"/>
  <c r="F44" i="14" s="1"/>
  <c r="E43" i="14"/>
  <c r="F43" i="14" s="1"/>
  <c r="E42" i="14"/>
  <c r="F42" i="14" s="1"/>
  <c r="E41" i="14"/>
  <c r="F41" i="14" s="1"/>
  <c r="E40" i="14"/>
  <c r="F40" i="14" s="1"/>
  <c r="E39" i="14"/>
  <c r="F39" i="14" s="1"/>
  <c r="E38" i="14"/>
  <c r="F38" i="14" s="1"/>
  <c r="E37" i="14"/>
  <c r="F37" i="14" s="1"/>
  <c r="E36" i="14"/>
  <c r="F36" i="14" s="1"/>
  <c r="E35" i="14"/>
  <c r="F35" i="14" s="1"/>
  <c r="E34" i="14"/>
  <c r="F34" i="14" s="1"/>
  <c r="E33" i="14"/>
  <c r="F33" i="14" s="1"/>
  <c r="F32" i="14"/>
  <c r="E32" i="14"/>
  <c r="E31" i="14"/>
  <c r="F31" i="14" s="1"/>
  <c r="E30" i="14"/>
  <c r="F30" i="14" s="1"/>
  <c r="E29" i="14"/>
  <c r="F29" i="14" s="1"/>
  <c r="E28" i="14"/>
  <c r="F28" i="14" s="1"/>
  <c r="E27" i="14"/>
  <c r="F27" i="14" s="1"/>
  <c r="E26" i="14"/>
  <c r="F26" i="14" s="1"/>
  <c r="E25" i="14"/>
  <c r="F25" i="14" s="1"/>
  <c r="E24" i="14"/>
  <c r="F24" i="14" s="1"/>
  <c r="E23" i="14"/>
  <c r="F23" i="14" s="1"/>
  <c r="E22" i="14"/>
  <c r="F22" i="14" s="1"/>
  <c r="E21" i="14"/>
  <c r="F21" i="14" s="1"/>
  <c r="E20" i="14"/>
  <c r="F20" i="14" s="1"/>
  <c r="E19" i="14"/>
  <c r="F19" i="14" s="1"/>
  <c r="E18" i="14"/>
  <c r="F18" i="14" s="1"/>
  <c r="E17" i="14"/>
  <c r="F17" i="14" s="1"/>
  <c r="E16" i="14"/>
  <c r="F16" i="14" s="1"/>
  <c r="E15" i="14"/>
  <c r="F15" i="14" s="1"/>
  <c r="E14" i="14"/>
  <c r="F14" i="14" s="1"/>
  <c r="E13" i="14"/>
  <c r="F13" i="14" s="1"/>
  <c r="E12" i="14"/>
  <c r="F12" i="14" s="1"/>
  <c r="E11" i="14"/>
  <c r="F11" i="14" s="1"/>
  <c r="E10" i="14"/>
  <c r="F10" i="14" s="1"/>
  <c r="E9" i="14"/>
  <c r="F9" i="14" s="1"/>
  <c r="E8" i="14"/>
  <c r="F8" i="14" s="1"/>
  <c r="E7" i="14"/>
  <c r="F7" i="14" s="1"/>
  <c r="E6" i="14"/>
  <c r="F6" i="14" s="1"/>
  <c r="F150" i="14" s="1"/>
  <c r="B155" i="14" s="1"/>
  <c r="E5" i="14"/>
  <c r="F5" i="14" s="1"/>
  <c r="J146" i="14"/>
  <c r="K146" i="14" s="1"/>
  <c r="L146" i="14" s="1"/>
  <c r="J145" i="14"/>
  <c r="K145" i="14" s="1"/>
  <c r="L145" i="14" s="1"/>
  <c r="J144" i="14"/>
  <c r="K144" i="14" s="1"/>
  <c r="L144" i="14" s="1"/>
  <c r="J143" i="14"/>
  <c r="K143" i="14" s="1"/>
  <c r="L143" i="14" s="1"/>
  <c r="J142" i="14"/>
  <c r="K142" i="14" s="1"/>
  <c r="L142" i="14" s="1"/>
  <c r="J141" i="14"/>
  <c r="K141" i="14" s="1"/>
  <c r="L141" i="14" s="1"/>
  <c r="J140" i="14"/>
  <c r="K140" i="14" s="1"/>
  <c r="L140" i="14" s="1"/>
  <c r="J139" i="14"/>
  <c r="K139" i="14" s="1"/>
  <c r="L139" i="14" s="1"/>
  <c r="J138" i="14"/>
  <c r="K138" i="14" s="1"/>
  <c r="L138" i="14" s="1"/>
  <c r="J137" i="14"/>
  <c r="K137" i="14" s="1"/>
  <c r="L137" i="14" s="1"/>
  <c r="J136" i="14"/>
  <c r="K136" i="14" s="1"/>
  <c r="L136" i="14" s="1"/>
  <c r="J135" i="14"/>
  <c r="K135" i="14" s="1"/>
  <c r="L135" i="14" s="1"/>
  <c r="J134" i="14"/>
  <c r="K134" i="14" s="1"/>
  <c r="L134" i="14" s="1"/>
  <c r="J133" i="14"/>
  <c r="K133" i="14" s="1"/>
  <c r="L133" i="14" s="1"/>
  <c r="K132" i="14"/>
  <c r="L132" i="14" s="1"/>
  <c r="J132" i="14"/>
  <c r="J131" i="14"/>
  <c r="K131" i="14" s="1"/>
  <c r="L131" i="14" s="1"/>
  <c r="J130" i="14"/>
  <c r="K130" i="14" s="1"/>
  <c r="L130" i="14" s="1"/>
  <c r="J129" i="14"/>
  <c r="K129" i="14" s="1"/>
  <c r="L129" i="14" s="1"/>
  <c r="J128" i="14"/>
  <c r="K128" i="14" s="1"/>
  <c r="L128" i="14" s="1"/>
  <c r="J127" i="14"/>
  <c r="K127" i="14" s="1"/>
  <c r="L127" i="14" s="1"/>
  <c r="J126" i="14"/>
  <c r="K126" i="14" s="1"/>
  <c r="L126" i="14" s="1"/>
  <c r="J125" i="14"/>
  <c r="K125" i="14" s="1"/>
  <c r="L125" i="14" s="1"/>
  <c r="J124" i="14"/>
  <c r="K124" i="14" s="1"/>
  <c r="L124" i="14" s="1"/>
  <c r="J123" i="14"/>
  <c r="K123" i="14" s="1"/>
  <c r="L123" i="14" s="1"/>
  <c r="J122" i="14"/>
  <c r="K122" i="14" s="1"/>
  <c r="L122" i="14" s="1"/>
  <c r="J121" i="14"/>
  <c r="K121" i="14" s="1"/>
  <c r="L121" i="14" s="1"/>
  <c r="J120" i="14"/>
  <c r="K120" i="14" s="1"/>
  <c r="L120" i="14" s="1"/>
  <c r="J119" i="14"/>
  <c r="K119" i="14" s="1"/>
  <c r="L119" i="14" s="1"/>
  <c r="J118" i="14"/>
  <c r="K118" i="14" s="1"/>
  <c r="L118" i="14" s="1"/>
  <c r="L117" i="14"/>
  <c r="J117" i="14"/>
  <c r="K117" i="14" s="1"/>
  <c r="J116" i="14"/>
  <c r="K116" i="14" s="1"/>
  <c r="L116" i="14" s="1"/>
  <c r="J115" i="14"/>
  <c r="K115" i="14" s="1"/>
  <c r="L115" i="14" s="1"/>
  <c r="J114" i="14"/>
  <c r="K114" i="14" s="1"/>
  <c r="L114" i="14" s="1"/>
  <c r="J113" i="14"/>
  <c r="K113" i="14" s="1"/>
  <c r="L113" i="14" s="1"/>
  <c r="J112" i="14"/>
  <c r="K112" i="14" s="1"/>
  <c r="L112" i="14" s="1"/>
  <c r="J111" i="14"/>
  <c r="K111" i="14" s="1"/>
  <c r="L111" i="14" s="1"/>
  <c r="J110" i="14"/>
  <c r="K110" i="14" s="1"/>
  <c r="L110" i="14" s="1"/>
  <c r="J109" i="14"/>
  <c r="K109" i="14" s="1"/>
  <c r="L109" i="14" s="1"/>
  <c r="J108" i="14"/>
  <c r="K108" i="14" s="1"/>
  <c r="L108" i="14" s="1"/>
  <c r="J107" i="14"/>
  <c r="K107" i="14" s="1"/>
  <c r="L107" i="14" s="1"/>
  <c r="J106" i="14"/>
  <c r="K106" i="14" s="1"/>
  <c r="L106" i="14" s="1"/>
  <c r="J105" i="14"/>
  <c r="K105" i="14" s="1"/>
  <c r="L105" i="14" s="1"/>
  <c r="J104" i="14"/>
  <c r="K104" i="14" s="1"/>
  <c r="L104" i="14" s="1"/>
  <c r="J103" i="14"/>
  <c r="K103" i="14" s="1"/>
  <c r="L103" i="14" s="1"/>
  <c r="J102" i="14"/>
  <c r="K102" i="14" s="1"/>
  <c r="L102" i="14" s="1"/>
  <c r="J101" i="14"/>
  <c r="K101" i="14" s="1"/>
  <c r="L101" i="14" s="1"/>
  <c r="J100" i="14"/>
  <c r="K100" i="14" s="1"/>
  <c r="L100" i="14" s="1"/>
  <c r="J99" i="14"/>
  <c r="K99" i="14" s="1"/>
  <c r="L99" i="14" s="1"/>
  <c r="J98" i="14"/>
  <c r="K98" i="14" s="1"/>
  <c r="L98" i="14" s="1"/>
  <c r="J97" i="14"/>
  <c r="K97" i="14" s="1"/>
  <c r="L97" i="14" s="1"/>
  <c r="J96" i="14"/>
  <c r="K96" i="14" s="1"/>
  <c r="L96" i="14" s="1"/>
  <c r="J95" i="14"/>
  <c r="K95" i="14" s="1"/>
  <c r="L95" i="14" s="1"/>
  <c r="J94" i="14"/>
  <c r="K94" i="14" s="1"/>
  <c r="L94" i="14" s="1"/>
  <c r="J93" i="14"/>
  <c r="K93" i="14" s="1"/>
  <c r="L93" i="14" s="1"/>
  <c r="J92" i="14"/>
  <c r="K92" i="14" s="1"/>
  <c r="L92" i="14" s="1"/>
  <c r="J91" i="14"/>
  <c r="K91" i="14" s="1"/>
  <c r="L91" i="14" s="1"/>
  <c r="J90" i="14"/>
  <c r="K90" i="14" s="1"/>
  <c r="L90" i="14" s="1"/>
  <c r="J89" i="14"/>
  <c r="K89" i="14" s="1"/>
  <c r="L89" i="14" s="1"/>
  <c r="J88" i="14"/>
  <c r="K88" i="14" s="1"/>
  <c r="L88" i="14" s="1"/>
  <c r="J87" i="14"/>
  <c r="K87" i="14" s="1"/>
  <c r="L87" i="14" s="1"/>
  <c r="J86" i="14"/>
  <c r="K86" i="14" s="1"/>
  <c r="L86" i="14" s="1"/>
  <c r="J85" i="14"/>
  <c r="K85" i="14" s="1"/>
  <c r="L85" i="14" s="1"/>
  <c r="J84" i="14"/>
  <c r="K84" i="14" s="1"/>
  <c r="L84" i="14" s="1"/>
  <c r="J83" i="14"/>
  <c r="K83" i="14" s="1"/>
  <c r="L83" i="14" s="1"/>
  <c r="J82" i="14"/>
  <c r="K82" i="14" s="1"/>
  <c r="L82" i="14" s="1"/>
  <c r="J81" i="14"/>
  <c r="K81" i="14" s="1"/>
  <c r="L81" i="14" s="1"/>
  <c r="J80" i="14"/>
  <c r="K80" i="14" s="1"/>
  <c r="L80" i="14" s="1"/>
  <c r="J79" i="14"/>
  <c r="K79" i="14" s="1"/>
  <c r="L79" i="14" s="1"/>
  <c r="J78" i="14"/>
  <c r="K78" i="14" s="1"/>
  <c r="L78" i="14" s="1"/>
  <c r="J77" i="14"/>
  <c r="K77" i="14" s="1"/>
  <c r="L77" i="14" s="1"/>
  <c r="K76" i="14"/>
  <c r="L76" i="14" s="1"/>
  <c r="J76" i="14"/>
  <c r="J75" i="14"/>
  <c r="K75" i="14" s="1"/>
  <c r="L75" i="14" s="1"/>
  <c r="J74" i="14"/>
  <c r="K74" i="14" s="1"/>
  <c r="L74" i="14" s="1"/>
  <c r="J73" i="14"/>
  <c r="K73" i="14" s="1"/>
  <c r="L73" i="14" s="1"/>
  <c r="J72" i="14"/>
  <c r="K72" i="14" s="1"/>
  <c r="L72" i="14" s="1"/>
  <c r="J71" i="14"/>
  <c r="K71" i="14" s="1"/>
  <c r="L71" i="14" s="1"/>
  <c r="J70" i="14"/>
  <c r="K70" i="14" s="1"/>
  <c r="L70" i="14" s="1"/>
  <c r="J69" i="14"/>
  <c r="K69" i="14" s="1"/>
  <c r="L69" i="14" s="1"/>
  <c r="J68" i="14"/>
  <c r="K68" i="14" s="1"/>
  <c r="L68" i="14" s="1"/>
  <c r="J67" i="14"/>
  <c r="K67" i="14" s="1"/>
  <c r="L67" i="14" s="1"/>
  <c r="J66" i="14"/>
  <c r="K66" i="14" s="1"/>
  <c r="L66" i="14" s="1"/>
  <c r="J65" i="14"/>
  <c r="K65" i="14" s="1"/>
  <c r="L65" i="14" s="1"/>
  <c r="J64" i="14"/>
  <c r="K64" i="14" s="1"/>
  <c r="L64" i="14" s="1"/>
  <c r="J63" i="14"/>
  <c r="K63" i="14" s="1"/>
  <c r="L63" i="14" s="1"/>
  <c r="J62" i="14"/>
  <c r="K62" i="14" s="1"/>
  <c r="L62" i="14" s="1"/>
  <c r="J61" i="14"/>
  <c r="K61" i="14" s="1"/>
  <c r="L61" i="14" s="1"/>
  <c r="K60" i="14"/>
  <c r="L60" i="14" s="1"/>
  <c r="J60" i="14"/>
  <c r="J59" i="14"/>
  <c r="K59" i="14" s="1"/>
  <c r="L59" i="14" s="1"/>
  <c r="J58" i="14"/>
  <c r="K58" i="14" s="1"/>
  <c r="L58" i="14" s="1"/>
  <c r="J57" i="14"/>
  <c r="K57" i="14" s="1"/>
  <c r="L57" i="14" s="1"/>
  <c r="J56" i="14"/>
  <c r="K56" i="14" s="1"/>
  <c r="L56" i="14" s="1"/>
  <c r="J55" i="14"/>
  <c r="K55" i="14" s="1"/>
  <c r="L55" i="14" s="1"/>
  <c r="J54" i="14"/>
  <c r="K54" i="14" s="1"/>
  <c r="L54" i="14" s="1"/>
  <c r="J53" i="14"/>
  <c r="K53" i="14" s="1"/>
  <c r="L53" i="14" s="1"/>
  <c r="J52" i="14"/>
  <c r="K52" i="14" s="1"/>
  <c r="L52" i="14" s="1"/>
  <c r="J51" i="14"/>
  <c r="K51" i="14" s="1"/>
  <c r="L51" i="14" s="1"/>
  <c r="J50" i="14"/>
  <c r="K50" i="14" s="1"/>
  <c r="L50" i="14" s="1"/>
  <c r="J49" i="14"/>
  <c r="K49" i="14" s="1"/>
  <c r="L49" i="14" s="1"/>
  <c r="J48" i="14"/>
  <c r="K48" i="14" s="1"/>
  <c r="L48" i="14" s="1"/>
  <c r="J47" i="14"/>
  <c r="K47" i="14" s="1"/>
  <c r="L47" i="14" s="1"/>
  <c r="J46" i="14"/>
  <c r="K46" i="14" s="1"/>
  <c r="L46" i="14" s="1"/>
  <c r="J45" i="14"/>
  <c r="K45" i="14" s="1"/>
  <c r="L45" i="14" s="1"/>
  <c r="J44" i="14"/>
  <c r="K44" i="14" s="1"/>
  <c r="L44" i="14" s="1"/>
  <c r="J43" i="14"/>
  <c r="K43" i="14" s="1"/>
  <c r="L43" i="14" s="1"/>
  <c r="J42" i="14"/>
  <c r="K42" i="14" s="1"/>
  <c r="L42" i="14" s="1"/>
  <c r="J41" i="14"/>
  <c r="K41" i="14" s="1"/>
  <c r="L41" i="14" s="1"/>
  <c r="J40" i="14"/>
  <c r="K40" i="14" s="1"/>
  <c r="L40" i="14" s="1"/>
  <c r="J39" i="14"/>
  <c r="K39" i="14" s="1"/>
  <c r="L39" i="14" s="1"/>
  <c r="J38" i="14"/>
  <c r="K38" i="14" s="1"/>
  <c r="L38" i="14" s="1"/>
  <c r="J37" i="14"/>
  <c r="K37" i="14" s="1"/>
  <c r="L37" i="14" s="1"/>
  <c r="J36" i="14"/>
  <c r="K36" i="14" s="1"/>
  <c r="L36" i="14" s="1"/>
  <c r="J35" i="14"/>
  <c r="K35" i="14" s="1"/>
  <c r="L35" i="14" s="1"/>
  <c r="J34" i="14"/>
  <c r="K34" i="14" s="1"/>
  <c r="L34" i="14" s="1"/>
  <c r="J33" i="14"/>
  <c r="K33" i="14" s="1"/>
  <c r="L33" i="14" s="1"/>
  <c r="J32" i="14"/>
  <c r="K32" i="14" s="1"/>
  <c r="L32" i="14" s="1"/>
  <c r="J31" i="14"/>
  <c r="K31" i="14" s="1"/>
  <c r="L31" i="14" s="1"/>
  <c r="J30" i="14"/>
  <c r="K30" i="14" s="1"/>
  <c r="L30" i="14" s="1"/>
  <c r="J29" i="14"/>
  <c r="K29" i="14" s="1"/>
  <c r="L29" i="14" s="1"/>
  <c r="J28" i="14"/>
  <c r="K28" i="14" s="1"/>
  <c r="L28" i="14" s="1"/>
  <c r="J27" i="14"/>
  <c r="K27" i="14" s="1"/>
  <c r="L27" i="14" s="1"/>
  <c r="J26" i="14"/>
  <c r="K26" i="14" s="1"/>
  <c r="L26" i="14" s="1"/>
  <c r="J25" i="14"/>
  <c r="K25" i="14" s="1"/>
  <c r="L25" i="14" s="1"/>
  <c r="J24" i="14"/>
  <c r="K24" i="14" s="1"/>
  <c r="L24" i="14" s="1"/>
  <c r="J23" i="14"/>
  <c r="K23" i="14" s="1"/>
  <c r="L23" i="14" s="1"/>
  <c r="J22" i="14"/>
  <c r="K22" i="14" s="1"/>
  <c r="L22" i="14" s="1"/>
  <c r="E114" i="14"/>
  <c r="F114" i="14" s="1"/>
  <c r="J21" i="14"/>
  <c r="K21" i="14" s="1"/>
  <c r="L21" i="14" s="1"/>
  <c r="J20" i="14"/>
  <c r="K20" i="14" s="1"/>
  <c r="L20" i="14" s="1"/>
  <c r="J19" i="14"/>
  <c r="K19" i="14" s="1"/>
  <c r="L19" i="14" s="1"/>
  <c r="J18" i="14"/>
  <c r="K18" i="14" s="1"/>
  <c r="L18" i="14" s="1"/>
  <c r="J17" i="14"/>
  <c r="K17" i="14" s="1"/>
  <c r="L17" i="14" s="1"/>
  <c r="J16" i="14"/>
  <c r="K16" i="14" s="1"/>
  <c r="L16" i="14" s="1"/>
  <c r="J15" i="14"/>
  <c r="K15" i="14" s="1"/>
  <c r="L15" i="14" s="1"/>
  <c r="J14" i="14"/>
  <c r="K14" i="14" s="1"/>
  <c r="L14" i="14" s="1"/>
  <c r="J13" i="14"/>
  <c r="K13" i="14" s="1"/>
  <c r="L13" i="14" s="1"/>
  <c r="J12" i="14"/>
  <c r="K12" i="14" s="1"/>
  <c r="L12" i="14" s="1"/>
  <c r="J11" i="14"/>
  <c r="K11" i="14" s="1"/>
  <c r="L11" i="14" s="1"/>
  <c r="J10" i="14"/>
  <c r="K10" i="14" s="1"/>
  <c r="L10" i="14" s="1"/>
  <c r="J9" i="14"/>
  <c r="K9" i="14" s="1"/>
  <c r="L9" i="14" s="1"/>
  <c r="J8" i="14"/>
  <c r="K8" i="14" s="1"/>
  <c r="L8" i="14" s="1"/>
  <c r="J7" i="14"/>
  <c r="K7" i="14" s="1"/>
  <c r="L7" i="14" s="1"/>
  <c r="J6" i="14"/>
  <c r="K6" i="14" s="1"/>
  <c r="L6" i="14" s="1"/>
  <c r="J5" i="14"/>
  <c r="K5" i="14" s="1"/>
  <c r="L5" i="14" s="1"/>
  <c r="E150" i="14" l="1"/>
  <c r="K55" i="9"/>
  <c r="I55" i="9"/>
  <c r="I51" i="9"/>
  <c r="E43" i="9"/>
  <c r="D43" i="9"/>
  <c r="G41" i="9"/>
  <c r="H41" i="9" s="1"/>
  <c r="G40" i="9"/>
  <c r="H40" i="9" s="1"/>
  <c r="G39" i="9"/>
  <c r="H39" i="9" s="1"/>
  <c r="G38" i="9"/>
  <c r="I38" i="9" s="1"/>
  <c r="G37" i="9"/>
  <c r="H37" i="9" s="1"/>
  <c r="G36" i="9"/>
  <c r="I36" i="9" s="1"/>
  <c r="G35" i="9"/>
  <c r="I35" i="9" s="1"/>
  <c r="G34" i="9"/>
  <c r="I34" i="9" s="1"/>
  <c r="G33" i="9"/>
  <c r="I33" i="9" s="1"/>
  <c r="G32" i="9"/>
  <c r="H32" i="9" s="1"/>
  <c r="G31" i="9"/>
  <c r="I31" i="9" s="1"/>
  <c r="G30" i="9"/>
  <c r="I30" i="9" s="1"/>
  <c r="G29" i="9"/>
  <c r="I29" i="9" s="1"/>
  <c r="G28" i="9"/>
  <c r="H28" i="9" s="1"/>
  <c r="G27" i="9"/>
  <c r="I27" i="9" s="1"/>
  <c r="G26" i="9"/>
  <c r="H26" i="9" s="1"/>
  <c r="G25" i="9"/>
  <c r="H25" i="9" s="1"/>
  <c r="G24" i="9"/>
  <c r="H24" i="9" s="1"/>
  <c r="G23" i="9"/>
  <c r="I23" i="9" s="1"/>
  <c r="G22" i="9"/>
  <c r="I22" i="9" s="1"/>
  <c r="G21" i="9"/>
  <c r="H21" i="9" s="1"/>
  <c r="G20" i="9"/>
  <c r="H20" i="9" s="1"/>
  <c r="G19" i="9"/>
  <c r="I19" i="9" s="1"/>
  <c r="G18" i="9"/>
  <c r="H18" i="9" s="1"/>
  <c r="G17" i="9"/>
  <c r="H17" i="9" s="1"/>
  <c r="G16" i="9"/>
  <c r="I16" i="9" s="1"/>
  <c r="G15" i="9"/>
  <c r="I15" i="9" s="1"/>
  <c r="G14" i="9"/>
  <c r="H14" i="9" s="1"/>
  <c r="G13" i="9"/>
  <c r="H13" i="9" s="1"/>
  <c r="G12" i="9"/>
  <c r="H12" i="9" s="1"/>
  <c r="G11" i="9"/>
  <c r="I11" i="9" s="1"/>
  <c r="G10" i="9"/>
  <c r="H10" i="9" s="1"/>
  <c r="G9" i="9"/>
  <c r="I9" i="9" s="1"/>
  <c r="G8" i="9"/>
  <c r="H8" i="9" s="1"/>
  <c r="G7" i="9"/>
  <c r="I7" i="9" s="1"/>
  <c r="G6" i="9"/>
  <c r="H6" i="9" s="1"/>
  <c r="G5" i="9"/>
  <c r="H5" i="9" s="1"/>
  <c r="G4" i="9"/>
  <c r="N13" i="9"/>
  <c r="N16" i="9"/>
  <c r="N24" i="9"/>
  <c r="N32" i="9"/>
  <c r="N12" i="9"/>
  <c r="N20" i="9"/>
  <c r="N8" i="9"/>
  <c r="N7" i="9"/>
  <c r="N6" i="9"/>
  <c r="N10" i="9"/>
  <c r="N36" i="9"/>
  <c r="N40" i="9"/>
  <c r="N28" i="9"/>
  <c r="N9" i="9"/>
  <c r="N34" i="9"/>
  <c r="N26" i="9"/>
  <c r="N18" i="9"/>
  <c r="N39" i="9"/>
  <c r="N31" i="9"/>
  <c r="N23" i="9"/>
  <c r="N33" i="9"/>
  <c r="N25" i="9"/>
  <c r="N17" i="9"/>
  <c r="N38" i="9"/>
  <c r="N30" i="9"/>
  <c r="N22" i="9"/>
  <c r="N14" i="9"/>
  <c r="N35" i="9"/>
  <c r="N27" i="9"/>
  <c r="N19" i="9"/>
  <c r="N37" i="9"/>
  <c r="N29" i="9"/>
  <c r="N21" i="9"/>
  <c r="N41" i="9"/>
  <c r="N11" i="9"/>
  <c r="N15" i="9"/>
  <c r="H35" i="9"/>
  <c r="C155" i="14" l="1"/>
  <c r="I41" i="9"/>
  <c r="I17" i="9"/>
  <c r="I26" i="9"/>
  <c r="K26" i="9" s="1"/>
  <c r="H29" i="9"/>
  <c r="I32" i="9"/>
  <c r="I39" i="9"/>
  <c r="J39" i="9" s="1"/>
  <c r="L39" i="9" s="1"/>
  <c r="M39" i="9" s="1"/>
  <c r="K41" i="9"/>
  <c r="L41" i="9" s="1"/>
  <c r="M41" i="9" s="1"/>
  <c r="I14" i="9"/>
  <c r="I40" i="9"/>
  <c r="J32" i="9"/>
  <c r="K14" i="9"/>
  <c r="J41" i="9"/>
  <c r="I21" i="9"/>
  <c r="J21" i="9" s="1"/>
  <c r="I6" i="9"/>
  <c r="H9" i="9"/>
  <c r="K9" i="9" s="1"/>
  <c r="I18" i="9"/>
  <c r="I24" i="9"/>
  <c r="J24" i="9" s="1"/>
  <c r="K29" i="9"/>
  <c r="K35" i="9"/>
  <c r="J17" i="9"/>
  <c r="K40" i="9"/>
  <c r="H11" i="9"/>
  <c r="H34" i="9"/>
  <c r="K34" i="9" s="1"/>
  <c r="I25" i="9"/>
  <c r="J25" i="9" s="1"/>
  <c r="I8" i="9"/>
  <c r="K8" i="9" s="1"/>
  <c r="I10" i="9"/>
  <c r="K10" i="9" s="1"/>
  <c r="H33" i="9"/>
  <c r="J33" i="9" s="1"/>
  <c r="J26" i="9"/>
  <c r="I5" i="9"/>
  <c r="K5" i="9" s="1"/>
  <c r="G43" i="9"/>
  <c r="K6" i="9"/>
  <c r="J14" i="9"/>
  <c r="L14" i="9" s="1"/>
  <c r="M14" i="9" s="1"/>
  <c r="I37" i="9"/>
  <c r="J37" i="9" s="1"/>
  <c r="H30" i="9"/>
  <c r="K30" i="9" s="1"/>
  <c r="I12" i="9"/>
  <c r="K12" i="9" s="1"/>
  <c r="I20" i="9"/>
  <c r="J20" i="9" s="1"/>
  <c r="I28" i="9"/>
  <c r="K28" i="9" s="1"/>
  <c r="K18" i="9"/>
  <c r="J18" i="9"/>
  <c r="H22" i="9"/>
  <c r="K22" i="9" s="1"/>
  <c r="K32" i="9"/>
  <c r="J11" i="9"/>
  <c r="I13" i="9"/>
  <c r="J13" i="9" s="1"/>
  <c r="J29" i="9"/>
  <c r="K21" i="9"/>
  <c r="L21" i="9" s="1"/>
  <c r="M21" i="9" s="1"/>
  <c r="J35" i="9"/>
  <c r="L35" i="9" s="1"/>
  <c r="M35" i="9" s="1"/>
  <c r="H4" i="9"/>
  <c r="H36" i="9"/>
  <c r="K36" i="9" s="1"/>
  <c r="K39" i="9"/>
  <c r="K11" i="9"/>
  <c r="L11" i="9" s="1"/>
  <c r="M11" i="9" s="1"/>
  <c r="K20" i="9"/>
  <c r="J40" i="9"/>
  <c r="I4" i="9"/>
  <c r="J5" i="9"/>
  <c r="K17" i="9"/>
  <c r="H16" i="9"/>
  <c r="K16" i="9" s="1"/>
  <c r="H19" i="9"/>
  <c r="K19" i="9" s="1"/>
  <c r="H38" i="9"/>
  <c r="K38" i="9" s="1"/>
  <c r="H31" i="9"/>
  <c r="K31" i="9" s="1"/>
  <c r="H7" i="9"/>
  <c r="K7" i="9" s="1"/>
  <c r="J6" i="9"/>
  <c r="H27" i="9"/>
  <c r="K27" i="9" s="1"/>
  <c r="H23" i="9"/>
  <c r="K23" i="9" s="1"/>
  <c r="H15" i="9"/>
  <c r="K15" i="9" s="1"/>
  <c r="C156" i="14" l="1"/>
  <c r="C157" i="14" s="1"/>
  <c r="J9" i="9"/>
  <c r="L32" i="9"/>
  <c r="M32" i="9" s="1"/>
  <c r="J8" i="9"/>
  <c r="L29" i="9"/>
  <c r="M29" i="9" s="1"/>
  <c r="J4" i="9"/>
  <c r="J34" i="9"/>
  <c r="K24" i="9"/>
  <c r="L24" i="9" s="1"/>
  <c r="M24" i="9" s="1"/>
  <c r="K33" i="9"/>
  <c r="L33" i="9" s="1"/>
  <c r="M33" i="9" s="1"/>
  <c r="L9" i="9"/>
  <c r="M9" i="9" s="1"/>
  <c r="J28" i="9"/>
  <c r="K25" i="9"/>
  <c r="L25" i="9" s="1"/>
  <c r="M25" i="9" s="1"/>
  <c r="L18" i="9"/>
  <c r="M18" i="9" s="1"/>
  <c r="J10" i="9"/>
  <c r="L10" i="9" s="1"/>
  <c r="M10" i="9" s="1"/>
  <c r="J12" i="9"/>
  <c r="L17" i="9"/>
  <c r="M17" i="9" s="1"/>
  <c r="L6" i="9"/>
  <c r="M6" i="9" s="1"/>
  <c r="L5" i="9"/>
  <c r="M5" i="9" s="1"/>
  <c r="L40" i="9"/>
  <c r="M40" i="9" s="1"/>
  <c r="L8" i="9"/>
  <c r="M8" i="9" s="1"/>
  <c r="J30" i="9"/>
  <c r="L30" i="9" s="1"/>
  <c r="M30" i="9" s="1"/>
  <c r="L26" i="9"/>
  <c r="M26" i="9" s="1"/>
  <c r="L28" i="9"/>
  <c r="M28" i="9" s="1"/>
  <c r="L12" i="9"/>
  <c r="M12" i="9" s="1"/>
  <c r="K37" i="9"/>
  <c r="L37" i="9" s="1"/>
  <c r="M37" i="9" s="1"/>
  <c r="L20" i="9"/>
  <c r="M20" i="9" s="1"/>
  <c r="J22" i="9"/>
  <c r="L22" i="9" s="1"/>
  <c r="M22" i="9" s="1"/>
  <c r="L34" i="9"/>
  <c r="M34" i="9" s="1"/>
  <c r="K13" i="9"/>
  <c r="L13" i="9" s="1"/>
  <c r="M13" i="9" s="1"/>
  <c r="J36" i="9"/>
  <c r="L36" i="9" s="1"/>
  <c r="M36" i="9" s="1"/>
  <c r="J27" i="9"/>
  <c r="L27" i="9" s="1"/>
  <c r="M27" i="9" s="1"/>
  <c r="J16" i="9"/>
  <c r="L16" i="9" s="1"/>
  <c r="M16" i="9" s="1"/>
  <c r="J15" i="9"/>
  <c r="L15" i="9" s="1"/>
  <c r="M15" i="9" s="1"/>
  <c r="J38" i="9"/>
  <c r="L38" i="9" s="1"/>
  <c r="M38" i="9" s="1"/>
  <c r="J31" i="9"/>
  <c r="L31" i="9" s="1"/>
  <c r="M31" i="9" s="1"/>
  <c r="J19" i="9"/>
  <c r="L19" i="9" s="1"/>
  <c r="M19" i="9" s="1"/>
  <c r="J23" i="9"/>
  <c r="L23" i="9" s="1"/>
  <c r="M23" i="9" s="1"/>
  <c r="J7" i="9"/>
  <c r="L7" i="9" s="1"/>
  <c r="M7" i="9" s="1"/>
  <c r="K4" i="9"/>
  <c r="C158" i="14" l="1"/>
  <c r="C159" i="14" s="1"/>
  <c r="K43" i="9"/>
  <c r="L4" i="9"/>
  <c r="J43" i="9"/>
  <c r="M4" i="9" l="1"/>
  <c r="M43" i="9" s="1"/>
  <c r="L50" i="9" s="1"/>
  <c r="L43" i="9"/>
  <c r="N5" i="9" l="1"/>
  <c r="L45" i="9"/>
  <c r="K50" i="9"/>
  <c r="L51" i="9"/>
  <c r="L55" i="9" s="1"/>
  <c r="N50" i="9" l="1"/>
  <c r="K51" i="9"/>
  <c r="N51" i="9" s="1"/>
  <c r="N4" i="9"/>
  <c r="N43" i="9" s="1"/>
  <c r="K52" i="9" s="1"/>
  <c r="N52" i="9" s="1"/>
  <c r="N53" i="9" l="1"/>
  <c r="N54" i="9" s="1"/>
  <c r="N55" i="9" s="1"/>
</calcChain>
</file>

<file path=xl/sharedStrings.xml><?xml version="1.0" encoding="utf-8"?>
<sst xmlns="http://schemas.openxmlformats.org/spreadsheetml/2006/main" count="402" uniqueCount="374">
  <si>
    <t>N°</t>
  </si>
  <si>
    <t>NOMBRE</t>
  </si>
  <si>
    <t>CLAVE</t>
  </si>
  <si>
    <t>DIAS</t>
  </si>
  <si>
    <t>SALARIO DIARIO</t>
  </si>
  <si>
    <t>EXCEDENTE</t>
  </si>
  <si>
    <t>SUMA</t>
  </si>
  <si>
    <t>MELO CAMPA EDGAR</t>
  </si>
  <si>
    <t>VERGARA BAUTISTA OSCAR</t>
  </si>
  <si>
    <t>ALVAREZ FLORES ROBERTO</t>
  </si>
  <si>
    <t>GARCÍA HDEZ. TANIA NEREYDA</t>
  </si>
  <si>
    <t>MARTINEZ MEDINA DAVID ABRAHAM</t>
  </si>
  <si>
    <t>HDEZ. RICARDEZ JORGE ADRIÁN</t>
  </si>
  <si>
    <t>RODRÍGUEZ ACEVEDO ALFONSO</t>
  </si>
  <si>
    <t>SALAZAR RUEDA YANIBIA</t>
  </si>
  <si>
    <t>HUMBERTO CRUZ</t>
  </si>
  <si>
    <t>CORTÉS MENDEZ JOSÉ DE JESÚS</t>
  </si>
  <si>
    <t>CRUZ ALONSO EVARISTO</t>
  </si>
  <si>
    <t>DÍAZ MEOÑO MARIANA</t>
  </si>
  <si>
    <t>MARTÍNEZ MORALES ADÁN</t>
  </si>
  <si>
    <t>RAMÍREZ CERVANTES EDUARDO</t>
  </si>
  <si>
    <t>RODRÍGUEZ CANSECO CÉSAR DAVID</t>
  </si>
  <si>
    <t>RODRÍGUEZ PÉREZ CARLOS ALBERTO</t>
  </si>
  <si>
    <t>GUERRA DE JESÚS CRISTIAN</t>
  </si>
  <si>
    <t>SÁNCHEZ ROMERO JOSÉ GERARDO</t>
  </si>
  <si>
    <t>GARRIDO FLORES CARMEN BELEM</t>
  </si>
  <si>
    <t>MARTINEZ VÁSQUEZ YADANI</t>
  </si>
  <si>
    <t>CID SANTIAGO ROSAURA</t>
  </si>
  <si>
    <t>FERNÁNDEZ RÍOS TEÓDULO</t>
  </si>
  <si>
    <t>VENEGAS VILLEGAS CINTHIA LIZBETH</t>
  </si>
  <si>
    <t>CAMPOS VELEZ FRANCISCO JAVIER</t>
  </si>
  <si>
    <t>JIMÉNEZ CÓRDOVA SÁNCHEZ IVAN ISMAEL</t>
  </si>
  <si>
    <t>VENEGAS LOAEZA IRVING RAFAEL</t>
  </si>
  <si>
    <t>TORRES HERNÁNDEZ CARLOS ALBERTO</t>
  </si>
  <si>
    <t>DIAZ COUTIÑO RAFAEL ABRAHAM</t>
  </si>
  <si>
    <t>CARDOZA VALERO RICARDO</t>
  </si>
  <si>
    <t>CONDE RODRIGUEZ CÉSAR AUGUSTO</t>
  </si>
  <si>
    <t>VELÁZQUEZ MARTINEZ EMMANUEL</t>
  </si>
  <si>
    <t>GARCÍA GONZÁGA MAYRA  SALOMÉ</t>
  </si>
  <si>
    <t>CRUZ RAMÍREZ JAIME FELIX</t>
  </si>
  <si>
    <t>CRUZ GARCÍA YAZMÍN JAZIBE</t>
  </si>
  <si>
    <t xml:space="preserve">LÁZARO CHAVEZ ERNESTINA </t>
  </si>
  <si>
    <t>GAYTAN OCTAVIO</t>
  </si>
  <si>
    <t>GARCÍA MATIAS OMAR</t>
  </si>
  <si>
    <t>QUINTERO RAMÍREZ ANILÚ</t>
  </si>
  <si>
    <t>DIRECCIÓN GENERAL</t>
  </si>
  <si>
    <t>JEFE DE INFORMACIÓN</t>
  </si>
  <si>
    <t>REPORTERO</t>
  </si>
  <si>
    <t>CONDUCTOR</t>
  </si>
  <si>
    <t>CAMARÓGRAFO</t>
  </si>
  <si>
    <t>ING. SISTEMAS</t>
  </si>
  <si>
    <t>PRODUCTOR</t>
  </si>
  <si>
    <t>EDITOR</t>
  </si>
  <si>
    <t>MAQUILLISTA</t>
  </si>
  <si>
    <t>ASISTENTE</t>
  </si>
  <si>
    <t>STAFF</t>
  </si>
  <si>
    <t>CAMAROGRAFO COM.</t>
  </si>
  <si>
    <t>CAMAROGRAFO ESTUDIO</t>
  </si>
  <si>
    <t>MASTER</t>
  </si>
  <si>
    <t>AREA DE GERENCIA ADMVA.</t>
  </si>
  <si>
    <t>MANTENIMIENTO</t>
  </si>
  <si>
    <t>LIMPIEZA</t>
  </si>
  <si>
    <t>CHOFER</t>
  </si>
  <si>
    <t xml:space="preserve">EDITOR </t>
  </si>
  <si>
    <t>SIN PUESTO</t>
  </si>
  <si>
    <t>COSTO SOCIAL</t>
  </si>
  <si>
    <t>SUBSIDIO AL EMPLEO</t>
  </si>
  <si>
    <t>SUELDO</t>
  </si>
  <si>
    <t>ART 113</t>
  </si>
  <si>
    <t>SUBSIDIO</t>
  </si>
  <si>
    <t>ISR</t>
  </si>
  <si>
    <t>TOTAL DEPOSITO</t>
  </si>
  <si>
    <t>VASA</t>
  </si>
  <si>
    <t>SINDICATO</t>
  </si>
  <si>
    <t>TOTAL</t>
  </si>
  <si>
    <t>IMSS</t>
  </si>
  <si>
    <t>BEN SIND</t>
  </si>
  <si>
    <t>NOMINA</t>
  </si>
  <si>
    <t>COSTO IMSS</t>
  </si>
  <si>
    <t>SUBTOTAL</t>
  </si>
  <si>
    <t xml:space="preserve">TOTAL DEPOSITO </t>
  </si>
  <si>
    <t>COMISION 6.5%</t>
  </si>
  <si>
    <t>IVA 16%</t>
  </si>
  <si>
    <t>SUELDO CLIENTE</t>
  </si>
  <si>
    <t>TOTAL EXCEDENTES</t>
  </si>
  <si>
    <t>NETOS</t>
  </si>
  <si>
    <t xml:space="preserve">EXCEDENTES </t>
  </si>
  <si>
    <t>COMISIÓN</t>
  </si>
  <si>
    <t>TOTAL FACTURA GLOBAL</t>
  </si>
  <si>
    <t>IVA</t>
  </si>
  <si>
    <t>Empleado 1</t>
  </si>
  <si>
    <t>Empleado 2</t>
  </si>
  <si>
    <t>Empleado 3</t>
  </si>
  <si>
    <t>Empleado 4</t>
  </si>
  <si>
    <t>Empleado 5</t>
  </si>
  <si>
    <t>Empleado 6</t>
  </si>
  <si>
    <t>Empleado 7</t>
  </si>
  <si>
    <t>Empleado 8</t>
  </si>
  <si>
    <t>Empleado 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</si>
  <si>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</si>
  <si>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</si>
  <si>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</si>
  <si>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</si>
  <si>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</si>
  <si>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</si>
  <si>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</si>
  <si>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Empleado 17</t>
  </si>
  <si>
    <t>Empleado 18</t>
  </si>
  <si>
    <t>Empleado 19</t>
  </si>
  <si>
    <t>Empleado 20</t>
  </si>
  <si>
    <t>Empleado 21</t>
  </si>
  <si>
    <t>Empleado 22</t>
  </si>
  <si>
    <t>Empleado 23</t>
  </si>
  <si>
    <t>Empleado 24</t>
  </si>
  <si>
    <t>Empleado 25</t>
  </si>
  <si>
    <t>Empleado 26</t>
  </si>
  <si>
    <t>Empleado 27</t>
  </si>
  <si>
    <t>Empleado 28</t>
  </si>
  <si>
    <t>Empleado 29</t>
  </si>
  <si>
    <t>Empleado 30</t>
  </si>
  <si>
    <t>Empleado 31</t>
  </si>
  <si>
    <t>Empleado 32</t>
  </si>
  <si>
    <t>Empleado 33</t>
  </si>
  <si>
    <t>Empleado 34</t>
  </si>
  <si>
    <t>Empleado 35</t>
  </si>
  <si>
    <t>Empleado 36</t>
  </si>
  <si>
    <t>Empleado 37</t>
  </si>
  <si>
    <t>Empleado 38</t>
  </si>
  <si>
    <t>Empleado 39</t>
  </si>
  <si>
    <t>Empleado 40</t>
  </si>
  <si>
    <t>Empleado 41</t>
  </si>
  <si>
    <t>Empleado 42</t>
  </si>
  <si>
    <t>Empleado 43</t>
  </si>
  <si>
    <t>Empleado 44</t>
  </si>
  <si>
    <t>Empleado 45</t>
  </si>
  <si>
    <t>Empleado 46</t>
  </si>
  <si>
    <t>Empleado 47</t>
  </si>
  <si>
    <t>Empleado 48</t>
  </si>
  <si>
    <t>Empleado 49</t>
  </si>
  <si>
    <t>Empleado 50</t>
  </si>
  <si>
    <t>Empleado 51</t>
  </si>
  <si>
    <t>Empleado 52</t>
  </si>
  <si>
    <t>Empleado 53</t>
  </si>
  <si>
    <t>Empleado 54</t>
  </si>
  <si>
    <t>Empleado 55</t>
  </si>
  <si>
    <t>Empleado 56</t>
  </si>
  <si>
    <t>Empleado 57</t>
  </si>
  <si>
    <t>Empleado 58</t>
  </si>
  <si>
    <t>Empleado 59</t>
  </si>
  <si>
    <t>Empleado 60</t>
  </si>
  <si>
    <t>Empleado 61</t>
  </si>
  <si>
    <t>Empleado 62</t>
  </si>
  <si>
    <t>Empleado 63</t>
  </si>
  <si>
    <t>Empleado 64</t>
  </si>
  <si>
    <t>Empleado 65</t>
  </si>
  <si>
    <t>Empleado 66</t>
  </si>
  <si>
    <t>Empleado 67</t>
  </si>
  <si>
    <t>Empleado 68</t>
  </si>
  <si>
    <t>Empleado 69</t>
  </si>
  <si>
    <t>Empleado 70</t>
  </si>
  <si>
    <t>Empleado 71</t>
  </si>
  <si>
    <t>Empleado 72</t>
  </si>
  <si>
    <t>Empleado 73</t>
  </si>
  <si>
    <t>Empleado 74</t>
  </si>
  <si>
    <t>Empleado 75</t>
  </si>
  <si>
    <t>Empleado 76</t>
  </si>
  <si>
    <t>Empleado 77</t>
  </si>
  <si>
    <t>Empleado 78</t>
  </si>
  <si>
    <t>Empleado 79</t>
  </si>
  <si>
    <t>Empleado 80</t>
  </si>
  <si>
    <t>Empleado 81</t>
  </si>
  <si>
    <t>Empleado 82</t>
  </si>
  <si>
    <t>Empleado 83</t>
  </si>
  <si>
    <t>Empleado 84</t>
  </si>
  <si>
    <t>Empleado 85</t>
  </si>
  <si>
    <t>Empleado 86</t>
  </si>
  <si>
    <t>Empleado 87</t>
  </si>
  <si>
    <t>Empleado 88</t>
  </si>
  <si>
    <t>Empleado 89</t>
  </si>
  <si>
    <t>Empleado 90</t>
  </si>
  <si>
    <t>Empleado 91</t>
  </si>
  <si>
    <t>Empleado 92</t>
  </si>
  <si>
    <t>Empleado 93</t>
  </si>
  <si>
    <t>Empleado 94</t>
  </si>
  <si>
    <t>Empleado 95</t>
  </si>
  <si>
    <t>Empleado 96</t>
  </si>
  <si>
    <t>Empleado 97</t>
  </si>
  <si>
    <t>Empleado 98</t>
  </si>
  <si>
    <t>Empleado 99</t>
  </si>
  <si>
    <t>Empleado 100</t>
  </si>
  <si>
    <t>Empleado 101</t>
  </si>
  <si>
    <t>Empleado 102</t>
  </si>
  <si>
    <t>Empleado 103</t>
  </si>
  <si>
    <t>Empleado 104</t>
  </si>
  <si>
    <t>Empleado 105</t>
  </si>
  <si>
    <t>Empleado 106</t>
  </si>
  <si>
    <t>Empleado 107</t>
  </si>
  <si>
    <t>Empleado 108</t>
  </si>
  <si>
    <t>Empleado 109</t>
  </si>
  <si>
    <t>Empleado 110</t>
  </si>
  <si>
    <t>Empleado 111</t>
  </si>
  <si>
    <t>Empleado 112</t>
  </si>
  <si>
    <t>Empleado 113</t>
  </si>
  <si>
    <t>Empleado 114</t>
  </si>
  <si>
    <t>Empleado 115</t>
  </si>
  <si>
    <t>Empleado 116</t>
  </si>
  <si>
    <t>Empleado 117</t>
  </si>
  <si>
    <t>Empleado 118</t>
  </si>
  <si>
    <t>Empleado 119</t>
  </si>
  <si>
    <t>Empleado 120</t>
  </si>
  <si>
    <t>Empleado 121</t>
  </si>
  <si>
    <t>Empleado 122</t>
  </si>
  <si>
    <t>Empleado 123</t>
  </si>
  <si>
    <t>Empleado 124</t>
  </si>
  <si>
    <t>Empleado 125</t>
  </si>
  <si>
    <t>Empleado 126</t>
  </si>
  <si>
    <t>Empleado 127</t>
  </si>
  <si>
    <t>Empleado 128</t>
  </si>
  <si>
    <t>Empleado 129</t>
  </si>
  <si>
    <t>Empleado 130</t>
  </si>
  <si>
    <t>Empleado 131</t>
  </si>
  <si>
    <t>Empleado 132</t>
  </si>
  <si>
    <t>Empleado 133</t>
  </si>
  <si>
    <t>Empleado 134</t>
  </si>
  <si>
    <t>Empleado 135</t>
  </si>
  <si>
    <t>Empleado 136</t>
  </si>
  <si>
    <t>Empleado 137</t>
  </si>
  <si>
    <t>Empleado 138</t>
  </si>
  <si>
    <t>Empleado 139</t>
  </si>
  <si>
    <t>Empleado 140</t>
  </si>
  <si>
    <t>Empleado 141</t>
  </si>
  <si>
    <t>Empleado 142</t>
  </si>
  <si>
    <t>emp 001</t>
  </si>
  <si>
    <t>emp 002</t>
  </si>
  <si>
    <t>emp 003</t>
  </si>
  <si>
    <t>emp 004</t>
  </si>
  <si>
    <t>emp 005</t>
  </si>
  <si>
    <t>emp 006</t>
  </si>
  <si>
    <t>emp 007</t>
  </si>
  <si>
    <t>emp 008</t>
  </si>
  <si>
    <t>emp 009</t>
  </si>
  <si>
    <t>emp 010</t>
  </si>
  <si>
    <t>emp 011</t>
  </si>
  <si>
    <t>emp 012</t>
  </si>
  <si>
    <t>emp 013</t>
  </si>
  <si>
    <t>emp 014</t>
  </si>
  <si>
    <t>emp 015</t>
  </si>
  <si>
    <t>emp 016</t>
  </si>
  <si>
    <t>emp 017</t>
  </si>
  <si>
    <t>emp 018</t>
  </si>
  <si>
    <t>emp 019</t>
  </si>
  <si>
    <t>emp 020</t>
  </si>
  <si>
    <t>emp 021</t>
  </si>
  <si>
    <t>emp 022</t>
  </si>
  <si>
    <t>emp 023</t>
  </si>
  <si>
    <t>emp 024</t>
  </si>
  <si>
    <t>emp 025</t>
  </si>
  <si>
    <t>emp 026</t>
  </si>
  <si>
    <t>emp 027</t>
  </si>
  <si>
    <t>emp 028</t>
  </si>
  <si>
    <t>emp 029</t>
  </si>
  <si>
    <t>emp 030</t>
  </si>
  <si>
    <t>emp 031</t>
  </si>
  <si>
    <t>emp 032</t>
  </si>
  <si>
    <t>emp 033</t>
  </si>
  <si>
    <t>emp 034</t>
  </si>
  <si>
    <t>emp 035</t>
  </si>
  <si>
    <t>emp 036</t>
  </si>
  <si>
    <t>emp 037</t>
  </si>
  <si>
    <t>emp 038</t>
  </si>
  <si>
    <t>emp 039</t>
  </si>
  <si>
    <t>emp 040</t>
  </si>
  <si>
    <t>emp 041</t>
  </si>
  <si>
    <t>emp 042</t>
  </si>
  <si>
    <t>emp 043</t>
  </si>
  <si>
    <t>emp 044</t>
  </si>
  <si>
    <t>emp 045</t>
  </si>
  <si>
    <t>emp 046</t>
  </si>
  <si>
    <t>emp 047</t>
  </si>
  <si>
    <t>emp 048</t>
  </si>
  <si>
    <t>emp 049</t>
  </si>
  <si>
    <t>emp 050</t>
  </si>
  <si>
    <t>emp 051</t>
  </si>
  <si>
    <t>emp 052</t>
  </si>
  <si>
    <t>emp 053</t>
  </si>
  <si>
    <t>emp 054</t>
  </si>
  <si>
    <t>emp 055</t>
  </si>
  <si>
    <t>emp 056</t>
  </si>
  <si>
    <t>emp 057</t>
  </si>
  <si>
    <t>emp 058</t>
  </si>
  <si>
    <t>emp 059</t>
  </si>
  <si>
    <t>emp 060</t>
  </si>
  <si>
    <t>emp 061</t>
  </si>
  <si>
    <t>emp 062</t>
  </si>
  <si>
    <t>emp 063</t>
  </si>
  <si>
    <t>emp 064</t>
  </si>
  <si>
    <t>emp 065</t>
  </si>
  <si>
    <t>emp 066</t>
  </si>
  <si>
    <t>emp 067</t>
  </si>
  <si>
    <t>emp 068</t>
  </si>
  <si>
    <t>emp 069</t>
  </si>
  <si>
    <t>emp 070</t>
  </si>
  <si>
    <t>emp 071</t>
  </si>
  <si>
    <t>emp 072</t>
  </si>
  <si>
    <t>emp 073</t>
  </si>
  <si>
    <t>emp 074</t>
  </si>
  <si>
    <t>emp 075</t>
  </si>
  <si>
    <t>emp 076</t>
  </si>
  <si>
    <t>emp 077</t>
  </si>
  <si>
    <t>emp 078</t>
  </si>
  <si>
    <t>emp 079</t>
  </si>
  <si>
    <t>emp 080</t>
  </si>
  <si>
    <t>emp 081</t>
  </si>
  <si>
    <t>emp 082</t>
  </si>
  <si>
    <t>emp 083</t>
  </si>
  <si>
    <t>emp 084</t>
  </si>
  <si>
    <t>emp 085</t>
  </si>
  <si>
    <t>emp 086</t>
  </si>
  <si>
    <t>emp 087</t>
  </si>
  <si>
    <t>emp 088</t>
  </si>
  <si>
    <t>emp 089</t>
  </si>
  <si>
    <t>emp 090</t>
  </si>
  <si>
    <t>emp 091</t>
  </si>
  <si>
    <t>emp 092</t>
  </si>
  <si>
    <t>emp 093</t>
  </si>
  <si>
    <t>emp 094</t>
  </si>
  <si>
    <t>emp 095</t>
  </si>
  <si>
    <t>emp 096</t>
  </si>
  <si>
    <t>emp 097</t>
  </si>
  <si>
    <t>emp 098</t>
  </si>
  <si>
    <t>emp 099</t>
  </si>
  <si>
    <t>emp 100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</si>
  <si>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</si>
  <si>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</si>
  <si>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</si>
  <si>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</si>
  <si>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</si>
  <si>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</si>
  <si>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</si>
  <si>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</si>
  <si>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</si>
  <si>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</si>
  <si>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111</t>
  </si>
  <si>
    <t>emp 112</t>
  </si>
  <si>
    <t>emp 113</t>
  </si>
  <si>
    <t>emp 114</t>
  </si>
  <si>
    <t>emp 115</t>
  </si>
  <si>
    <t>emp 116</t>
  </si>
  <si>
    <t>emp 117</t>
  </si>
  <si>
    <t>emp 118</t>
  </si>
  <si>
    <t>emp 119</t>
  </si>
  <si>
    <t>emp 120</t>
  </si>
  <si>
    <t>emp 121</t>
  </si>
  <si>
    <t>emp 122</t>
  </si>
  <si>
    <t>emp 123</t>
  </si>
  <si>
    <t>emp 124</t>
  </si>
  <si>
    <t>emp 125</t>
  </si>
  <si>
    <t>emp 126</t>
  </si>
  <si>
    <t>emp 127</t>
  </si>
  <si>
    <t>emp 128</t>
  </si>
  <si>
    <t>emp 129</t>
  </si>
  <si>
    <t>emp 130</t>
  </si>
  <si>
    <t>emp 131</t>
  </si>
  <si>
    <t>emp 132</t>
  </si>
  <si>
    <t>emp 133</t>
  </si>
  <si>
    <t>emp 134</t>
  </si>
  <si>
    <t>emp 135</t>
  </si>
  <si>
    <t>emp 136</t>
  </si>
  <si>
    <t>emp 137</t>
  </si>
  <si>
    <t>emp 138</t>
  </si>
  <si>
    <t>emp 139</t>
  </si>
  <si>
    <t>emp 140</t>
  </si>
  <si>
    <t>emp 141</t>
  </si>
  <si>
    <t>emp 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</si>
</sst>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[$€-2]* #,##0.00_-;\-[$€-2]* #,##0.00_-;_-[$€-2]* &quot;-&quot;??_-"/>
    <numFmt numFmtId="166" formatCode="[$$-80A]#,##0.00"/>
  </numFmts>
  <fonts count="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i/>
      <sz val="9"/>
      <name val="Arial"/>
      <family val="2"/>
    </font>
    <font>
      <sz val="8"/>
      <name val="Arial"/>
      <family val="2"/>
    </font>
    <font>
      <b/>
      <sz val="9"/>
      <name val="Maiandra GD"/>
      <family val="2"/>
    </font>
    <font>
      <sz val="9"/>
      <name val="Maiandra GD"/>
      <family val="2"/>
    </font>
    <font>
      <sz val="9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9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rgb="FFC49500"/>
      <name val="Arial"/>
      <family val="2"/>
    </font>
    <font>
      <b/>
      <sz val="13"/>
      <color rgb="FFC495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</fonts>
  <fills count="8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C216D"/>
      </left>
      <right style="hair">
        <color rgb="FF4C216D"/>
      </right>
      <top style="medium">
        <color rgb="FF4C216D"/>
      </top>
      <bottom style="hair">
        <color rgb="FF4C216D"/>
      </bottom>
      <diagonal/>
    </border>
    <border>
      <left style="hair">
        <color rgb="FF4C216D"/>
      </left>
      <right style="hair">
        <color rgb="FF4C216D"/>
      </right>
      <top style="medium">
        <color rgb="FF4C216D"/>
      </top>
      <bottom style="hair">
        <color rgb="FF4C216D"/>
      </bottom>
      <diagonal/>
    </border>
    <border>
      <left style="hair">
        <color rgb="FF4C216D"/>
      </left>
      <right style="medium">
        <color rgb="FF4C216D"/>
      </right>
      <top style="medium">
        <color rgb="FF4C216D"/>
      </top>
      <bottom style="hair">
        <color rgb="FF4C216D"/>
      </bottom>
      <diagonal/>
    </border>
    <border>
      <left style="medium">
        <color rgb="FF4C216D"/>
      </left>
      <right/>
      <top style="medium">
        <color rgb="FF4C216D"/>
      </top>
      <bottom style="medium">
        <color rgb="FF4C216D"/>
      </bottom>
      <diagonal/>
    </border>
    <border>
      <left/>
      <right/>
      <top style="medium">
        <color rgb="FF4C216D"/>
      </top>
      <bottom style="medium">
        <color rgb="FF4C216D"/>
      </bottom>
      <diagonal/>
    </border>
    <border>
      <left/>
      <right style="medium">
        <color rgb="FF4C216D"/>
      </right>
      <top style="medium">
        <color rgb="FF4C216D"/>
      </top>
      <bottom style="medium">
        <color rgb="FF4C216D"/>
      </bottom>
      <diagonal/>
    </border>
    <border>
      <left style="thin">
        <color rgb="FF4C216D"/>
      </left>
      <right style="thin">
        <color rgb="FF4C216D"/>
      </right>
      <top style="thin">
        <color rgb="FF4C216D"/>
      </top>
      <bottom style="thin">
        <color rgb="FF4C216D"/>
      </bottom>
      <diagonal/>
    </border>
    <border>
      <left style="thin">
        <color rgb="FF4C216D"/>
      </left>
      <right style="thin">
        <color rgb="FF4C216D"/>
      </right>
      <top/>
      <bottom style="thin">
        <color rgb="FF4C216D"/>
      </bottom>
      <diagonal/>
    </border>
    <border>
      <left style="medium">
        <color rgb="FF4C216D"/>
      </left>
      <right style="hair">
        <color rgb="FF4C216D"/>
      </right>
      <top style="medium">
        <color rgb="FF4C216D"/>
      </top>
      <bottom style="medium">
        <color rgb="FF4C216D"/>
      </bottom>
      <diagonal/>
    </border>
    <border>
      <left style="hair">
        <color rgb="FF4C216D"/>
      </left>
      <right style="hair">
        <color rgb="FF4C216D"/>
      </right>
      <top style="medium">
        <color rgb="FF4C216D"/>
      </top>
      <bottom style="medium">
        <color rgb="FF4C216D"/>
      </bottom>
      <diagonal/>
    </border>
    <border>
      <left style="hair">
        <color rgb="FF4C216D"/>
      </left>
      <right style="medium">
        <color rgb="FF4C216D"/>
      </right>
      <top style="medium">
        <color rgb="FF4C216D"/>
      </top>
      <bottom style="medium">
        <color rgb="FF4C216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C216D"/>
      </left>
      <right style="hair">
        <color rgb="FF4C216D"/>
      </right>
      <top style="hair">
        <color rgb="FF4C216D"/>
      </top>
      <bottom/>
      <diagonal/>
    </border>
    <border>
      <left style="hair">
        <color rgb="FF4C216D"/>
      </left>
      <right style="hair">
        <color rgb="FF4C216D"/>
      </right>
      <top style="hair">
        <color rgb="FF4C216D"/>
      </top>
      <bottom/>
      <diagonal/>
    </border>
    <border>
      <left style="hair">
        <color rgb="FF4C216D"/>
      </left>
      <right style="medium">
        <color rgb="FF4C216D"/>
      </right>
      <top style="hair">
        <color rgb="FF4C216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54">
    <xf numFmtId="0" fontId="0" fillId="0" borderId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0" borderId="0"/>
    <xf numFmtId="0" fontId="8" fillId="0" borderId="0"/>
    <xf numFmtId="0" fontId="8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0" borderId="0"/>
    <xf numFmtId="0" fontId="8" fillId="0" borderId="0"/>
    <xf numFmtId="0" fontId="8" fillId="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0" borderId="0"/>
    <xf numFmtId="0" fontId="8" fillId="0" borderId="0"/>
    <xf numFmtId="0" fontId="8" fillId="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0" borderId="0"/>
    <xf numFmtId="0" fontId="8" fillId="0" borderId="0"/>
    <xf numFmtId="0" fontId="8" fillId="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0" borderId="0"/>
    <xf numFmtId="0" fontId="8" fillId="0" borderId="0"/>
    <xf numFmtId="0" fontId="8" fillId="1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0" borderId="0"/>
    <xf numFmtId="0" fontId="8" fillId="0" borderId="0"/>
    <xf numFmtId="0" fontId="8" fillId="1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0" borderId="0"/>
    <xf numFmtId="0" fontId="8" fillId="0" borderId="0"/>
    <xf numFmtId="0" fontId="8" fillId="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0" borderId="0"/>
    <xf numFmtId="0" fontId="8" fillId="0" borderId="0"/>
    <xf numFmtId="0" fontId="8" fillId="2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0" borderId="0"/>
    <xf numFmtId="0" fontId="8" fillId="0" borderId="0"/>
    <xf numFmtId="0" fontId="9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0" borderId="0"/>
    <xf numFmtId="0" fontId="8" fillId="0" borderId="0"/>
    <xf numFmtId="0" fontId="9" fillId="1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0" borderId="0"/>
    <xf numFmtId="0" fontId="8" fillId="0" borderId="0"/>
    <xf numFmtId="0" fontId="9" fillId="1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0" borderId="0"/>
    <xf numFmtId="0" fontId="8" fillId="0" borderId="0"/>
    <xf numFmtId="0" fontId="9" fillId="2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0" borderId="0"/>
    <xf numFmtId="0" fontId="8" fillId="0" borderId="0"/>
    <xf numFmtId="0" fontId="9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8" fillId="0" borderId="0"/>
    <xf numFmtId="0" fontId="8" fillId="0" borderId="0"/>
    <xf numFmtId="0" fontId="9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/>
    <xf numFmtId="0" fontId="8" fillId="0" borderId="0"/>
    <xf numFmtId="0" fontId="10" fillId="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11" fillId="31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30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1" fillId="31" borderId="1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8" fillId="0" borderId="0"/>
    <xf numFmtId="0" fontId="8" fillId="0" borderId="0"/>
    <xf numFmtId="0" fontId="8" fillId="0" borderId="0"/>
    <xf numFmtId="0" fontId="12" fillId="33" borderId="2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32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2" fillId="33" borderId="2" applyNumberFormat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13" fillId="0" borderId="3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3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3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2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4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15" fillId="13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12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165" fontId="7" fillId="0" borderId="0" applyFont="0" applyFill="0" applyBorder="0" applyAlignment="0" applyProtection="0"/>
    <xf numFmtId="0" fontId="8" fillId="0" borderId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6" fillId="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7" fillId="4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2" fillId="0" borderId="0"/>
    <xf numFmtId="0" fontId="32" fillId="0" borderId="0"/>
    <xf numFmtId="0" fontId="18" fillId="0" borderId="0"/>
    <xf numFmtId="0" fontId="2" fillId="0" borderId="0"/>
    <xf numFmtId="0" fontId="7" fillId="0" borderId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0" borderId="0"/>
    <xf numFmtId="0" fontId="8" fillId="0" borderId="0"/>
    <xf numFmtId="0" fontId="8" fillId="0" borderId="0"/>
    <xf numFmtId="0" fontId="8" fillId="45" borderId="4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4" borderId="4" applyNumberFormat="0" applyFon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0" fontId="8" fillId="45" borderId="4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8" fillId="0" borderId="0"/>
    <xf numFmtId="0" fontId="8" fillId="0" borderId="0"/>
    <xf numFmtId="0" fontId="8" fillId="0" borderId="0"/>
    <xf numFmtId="0" fontId="19" fillId="31" borderId="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30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19" fillId="31" borderId="5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0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1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22" fillId="0" borderId="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24" fillId="0" borderId="7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14" fillId="0" borderId="8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25" fillId="0" borderId="9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8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51" borderId="16" applyNumberFormat="0" applyAlignment="0" applyProtection="0"/>
    <xf numFmtId="0" fontId="41" fillId="52" borderId="17" applyNumberFormat="0" applyAlignment="0" applyProtection="0"/>
    <xf numFmtId="0" fontId="42" fillId="52" borderId="16" applyNumberFormat="0" applyAlignment="0" applyProtection="0"/>
    <xf numFmtId="0" fontId="43" fillId="0" borderId="18" applyNumberFormat="0" applyFill="0" applyAlignment="0" applyProtection="0"/>
    <xf numFmtId="0" fontId="44" fillId="53" borderId="19" applyNumberFormat="0" applyAlignment="0" applyProtection="0"/>
    <xf numFmtId="0" fontId="45" fillId="0" borderId="0" applyNumberFormat="0" applyFill="0" applyBorder="0" applyAlignment="0" applyProtection="0"/>
    <xf numFmtId="0" fontId="32" fillId="54" borderId="20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21" applyNumberFormat="0" applyFill="0" applyAlignment="0" applyProtection="0"/>
    <xf numFmtId="0" fontId="48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48" fillId="58" borderId="0" applyNumberFormat="0" applyBorder="0" applyAlignment="0" applyProtection="0"/>
    <xf numFmtId="0" fontId="48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61" borderId="0" applyNumberFormat="0" applyBorder="0" applyAlignment="0" applyProtection="0"/>
    <xf numFmtId="0" fontId="48" fillId="62" borderId="0" applyNumberFormat="0" applyBorder="0" applyAlignment="0" applyProtection="0"/>
    <xf numFmtId="0" fontId="48" fillId="63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/>
    <xf numFmtId="0" fontId="48" fillId="66" borderId="0" applyNumberFormat="0" applyBorder="0" applyAlignment="0" applyProtection="0"/>
    <xf numFmtId="0" fontId="48" fillId="67" borderId="0" applyNumberFormat="0" applyBorder="0" applyAlignment="0" applyProtection="0"/>
    <xf numFmtId="0" fontId="32" fillId="68" borderId="0" applyNumberFormat="0" applyBorder="0" applyAlignment="0" applyProtection="0"/>
    <xf numFmtId="0" fontId="32" fillId="69" borderId="0" applyNumberFormat="0" applyBorder="0" applyAlignment="0" applyProtection="0"/>
    <xf numFmtId="0" fontId="48" fillId="70" borderId="0" applyNumberFormat="0" applyBorder="0" applyAlignment="0" applyProtection="0"/>
    <xf numFmtId="0" fontId="48" fillId="71" borderId="0" applyNumberFormat="0" applyBorder="0" applyAlignment="0" applyProtection="0"/>
    <xf numFmtId="0" fontId="32" fillId="72" borderId="0" applyNumberFormat="0" applyBorder="0" applyAlignment="0" applyProtection="0"/>
    <xf numFmtId="0" fontId="32" fillId="73" borderId="0" applyNumberFormat="0" applyBorder="0" applyAlignment="0" applyProtection="0"/>
    <xf numFmtId="0" fontId="48" fillId="74" borderId="0" applyNumberFormat="0" applyBorder="0" applyAlignment="0" applyProtection="0"/>
    <xf numFmtId="0" fontId="48" fillId="75" borderId="0" applyNumberFormat="0" applyBorder="0" applyAlignment="0" applyProtection="0"/>
    <xf numFmtId="0" fontId="32" fillId="76" borderId="0" applyNumberFormat="0" applyBorder="0" applyAlignment="0" applyProtection="0"/>
    <xf numFmtId="0" fontId="32" fillId="77" borderId="0" applyNumberFormat="0" applyBorder="0" applyAlignment="0" applyProtection="0"/>
    <xf numFmtId="0" fontId="48" fillId="7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4" borderId="4" applyNumberFormat="0" applyFon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4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1501" applyFont="1"/>
    <xf numFmtId="43" fontId="3" fillId="0" borderId="0" xfId="1446" applyFont="1"/>
    <xf numFmtId="0" fontId="4" fillId="0" borderId="0" xfId="1501" applyFont="1" applyAlignment="1">
      <alignment horizontal="center"/>
    </xf>
    <xf numFmtId="49" fontId="5" fillId="47" borderId="10" xfId="1501" applyNumberFormat="1" applyFont="1" applyFill="1" applyBorder="1" applyAlignment="1">
      <alignment horizontal="center" vertical="center" wrapText="1"/>
    </xf>
    <xf numFmtId="1" fontId="4" fillId="0" borderId="11" xfId="1501" applyNumberFormat="1" applyFont="1" applyBorder="1" applyAlignment="1">
      <alignment horizontal="center" vertical="center" wrapText="1"/>
    </xf>
    <xf numFmtId="0" fontId="4" fillId="0" borderId="11" xfId="1501" applyFont="1" applyBorder="1" applyAlignment="1">
      <alignment horizontal="center" vertical="center" wrapText="1"/>
    </xf>
    <xf numFmtId="49" fontId="4" fillId="0" borderId="11" xfId="1501" applyNumberFormat="1" applyFont="1" applyBorder="1" applyAlignment="1">
      <alignment horizontal="center" vertical="center" wrapText="1"/>
    </xf>
    <xf numFmtId="0" fontId="3" fillId="0" borderId="0" xfId="1501" applyFont="1" applyAlignment="1">
      <alignment horizontal="center" vertical="center"/>
    </xf>
    <xf numFmtId="0" fontId="3" fillId="0" borderId="0" xfId="1501" applyFont="1" applyAlignment="1">
      <alignment vertical="center"/>
    </xf>
    <xf numFmtId="0" fontId="4" fillId="0" borderId="0" xfId="1501" applyFont="1" applyAlignment="1">
      <alignment horizontal="center" vertical="center"/>
    </xf>
    <xf numFmtId="164" fontId="3" fillId="0" borderId="0" xfId="1450" applyFont="1" applyAlignment="1">
      <alignment vertical="center"/>
    </xf>
    <xf numFmtId="0" fontId="4" fillId="0" borderId="0" xfId="1501" applyFont="1"/>
    <xf numFmtId="0" fontId="4" fillId="0" borderId="0" xfId="1501" applyFont="1" applyAlignment="1">
      <alignment vertical="center"/>
    </xf>
    <xf numFmtId="43" fontId="4" fillId="0" borderId="0" xfId="1501" applyNumberFormat="1" applyFont="1"/>
    <xf numFmtId="43" fontId="3" fillId="0" borderId="0" xfId="1501" applyNumberFormat="1" applyFont="1"/>
    <xf numFmtId="43" fontId="6" fillId="0" borderId="0" xfId="1446" applyFont="1" applyAlignment="1">
      <alignment vertical="center"/>
    </xf>
    <xf numFmtId="43" fontId="26" fillId="46" borderId="0" xfId="1501" applyNumberFormat="1" applyFont="1" applyFill="1"/>
    <xf numFmtId="0" fontId="28" fillId="0" borderId="0" xfId="0" applyFont="1" applyAlignment="1">
      <alignment horizontal="left"/>
    </xf>
    <xf numFmtId="0" fontId="29" fillId="0" borderId="0" xfId="0" applyFont="1"/>
    <xf numFmtId="166" fontId="4" fillId="0" borderId="0" xfId="1451" applyNumberFormat="1" applyFont="1"/>
    <xf numFmtId="0" fontId="29" fillId="0" borderId="13" xfId="0" applyFont="1" applyBorder="1"/>
    <xf numFmtId="43" fontId="29" fillId="0" borderId="12" xfId="0" applyNumberFormat="1" applyFont="1" applyBorder="1" applyAlignment="1">
      <alignment horizontal="center"/>
    </xf>
    <xf numFmtId="166" fontId="29" fillId="0" borderId="12" xfId="0" applyNumberFormat="1" applyFont="1" applyBorder="1"/>
    <xf numFmtId="166" fontId="4" fillId="0" borderId="0" xfId="0" applyNumberFormat="1" applyFont="1"/>
    <xf numFmtId="43" fontId="29" fillId="0" borderId="12" xfId="0" applyNumberFormat="1" applyFont="1" applyBorder="1"/>
    <xf numFmtId="166" fontId="3" fillId="0" borderId="0" xfId="0" applyNumberFormat="1" applyFont="1"/>
    <xf numFmtId="0" fontId="3" fillId="0" borderId="0" xfId="0" applyFont="1"/>
    <xf numFmtId="0" fontId="29" fillId="0" borderId="12" xfId="0" applyFont="1" applyBorder="1"/>
    <xf numFmtId="43" fontId="30" fillId="0" borderId="0" xfId="0" applyNumberFormat="1" applyFont="1"/>
    <xf numFmtId="0" fontId="28" fillId="48" borderId="12" xfId="0" applyFont="1" applyFill="1" applyBorder="1"/>
    <xf numFmtId="166" fontId="28" fillId="0" borderId="12" xfId="0" applyNumberFormat="1" applyFont="1" applyBorder="1"/>
    <xf numFmtId="166" fontId="30" fillId="0" borderId="0" xfId="0" applyNumberFormat="1" applyFont="1"/>
    <xf numFmtId="43" fontId="29" fillId="0" borderId="0" xfId="0" applyNumberFormat="1" applyFont="1"/>
    <xf numFmtId="0" fontId="30" fillId="0" borderId="0" xfId="0" applyFont="1"/>
    <xf numFmtId="0" fontId="27" fillId="0" borderId="0" xfId="0" applyFont="1"/>
    <xf numFmtId="0" fontId="27" fillId="0" borderId="0" xfId="0" applyFont="1" applyAlignment="1">
      <alignment horizontal="left"/>
    </xf>
    <xf numFmtId="43" fontId="49" fillId="0" borderId="0" xfId="1446" applyFont="1" applyBorder="1" applyAlignment="1">
      <alignment horizontal="center" vertical="center"/>
    </xf>
    <xf numFmtId="0" fontId="0" fillId="79" borderId="0" xfId="0" applyFill="1"/>
    <xf numFmtId="44" fontId="0" fillId="79" borderId="0" xfId="0" applyNumberFormat="1" applyFill="1"/>
    <xf numFmtId="43" fontId="4" fillId="79" borderId="0" xfId="1501" applyNumberFormat="1" applyFont="1" applyFill="1"/>
    <xf numFmtId="0" fontId="4" fillId="79" borderId="0" xfId="1501" applyFont="1" applyFill="1"/>
    <xf numFmtId="44" fontId="0" fillId="0" borderId="0" xfId="0" applyNumberFormat="1"/>
    <xf numFmtId="8" fontId="4" fillId="0" borderId="0" xfId="1501" applyNumberFormat="1" applyFont="1" applyAlignment="1">
      <alignment horizontal="center"/>
    </xf>
    <xf numFmtId="0" fontId="55" fillId="0" borderId="28" xfId="0" applyFont="1" applyBorder="1" applyAlignment="1">
      <alignment vertical="center"/>
    </xf>
    <xf numFmtId="166" fontId="51" fillId="0" borderId="28" xfId="0" applyNumberFormat="1" applyFont="1" applyBorder="1" applyAlignment="1">
      <alignment vertical="center"/>
    </xf>
    <xf numFmtId="49" fontId="56" fillId="0" borderId="28" xfId="0" applyNumberFormat="1" applyFont="1" applyBorder="1" applyAlignment="1">
      <alignment vertical="center"/>
    </xf>
    <xf numFmtId="4" fontId="51" fillId="0" borderId="28" xfId="0" applyNumberFormat="1" applyFont="1" applyBorder="1" applyAlignment="1">
      <alignment vertical="center"/>
    </xf>
    <xf numFmtId="0" fontId="52" fillId="0" borderId="28" xfId="0" applyFont="1" applyBorder="1" applyAlignment="1">
      <alignment vertical="center"/>
    </xf>
    <xf numFmtId="166" fontId="52" fillId="80" borderId="28" xfId="0" applyNumberFormat="1" applyFont="1" applyFill="1" applyBorder="1" applyAlignment="1">
      <alignment vertical="center"/>
    </xf>
    <xf numFmtId="0" fontId="55" fillId="0" borderId="29" xfId="0" applyFont="1" applyBorder="1" applyAlignment="1">
      <alignment vertical="center"/>
    </xf>
    <xf numFmtId="166" fontId="51" fillId="0" borderId="29" xfId="0" applyNumberFormat="1" applyFont="1" applyBorder="1" applyAlignment="1">
      <alignment vertical="center"/>
    </xf>
    <xf numFmtId="0" fontId="53" fillId="0" borderId="30" xfId="1501" applyFont="1" applyBorder="1" applyAlignment="1">
      <alignment horizontal="center" vertical="center" wrapText="1"/>
    </xf>
    <xf numFmtId="0" fontId="53" fillId="0" borderId="31" xfId="1501" applyFont="1" applyBorder="1" applyAlignment="1">
      <alignment horizontal="center" vertical="center" wrapText="1"/>
    </xf>
    <xf numFmtId="0" fontId="53" fillId="0" borderId="32" xfId="1501" applyFont="1" applyBorder="1" applyAlignment="1">
      <alignment horizontal="center" vertical="center" wrapText="1"/>
    </xf>
    <xf numFmtId="44" fontId="4" fillId="0" borderId="0" xfId="1501" applyNumberFormat="1" applyFont="1" applyAlignment="1">
      <alignment horizontal="center"/>
    </xf>
    <xf numFmtId="9" fontId="52" fillId="80" borderId="28" xfId="1549" applyFont="1" applyFill="1" applyBorder="1" applyAlignment="1">
      <alignment horizontal="center" vertical="center"/>
    </xf>
    <xf numFmtId="0" fontId="56" fillId="0" borderId="28" xfId="0" applyFont="1" applyBorder="1" applyAlignment="1">
      <alignment vertical="center" wrapText="1"/>
    </xf>
    <xf numFmtId="0" fontId="0" fillId="79" borderId="0" xfId="0" applyFill="1" applyAlignment="1">
      <alignment horizontal="center"/>
    </xf>
    <xf numFmtId="0" fontId="27" fillId="0" borderId="0" xfId="0" applyFont="1" applyAlignment="1">
      <alignment horizontal="center"/>
    </xf>
    <xf numFmtId="43" fontId="4" fillId="0" borderId="0" xfId="1501" applyNumberFormat="1" applyFont="1" applyAlignment="1">
      <alignment horizontal="center"/>
    </xf>
    <xf numFmtId="0" fontId="0" fillId="0" borderId="0" xfId="0" applyAlignment="1">
      <alignment horizontal="center"/>
    </xf>
    <xf numFmtId="8" fontId="49" fillId="0" borderId="0" xfId="1446" applyNumberFormat="1" applyFont="1" applyFill="1" applyBorder="1" applyAlignment="1">
      <alignment horizontal="center" vertical="center"/>
    </xf>
    <xf numFmtId="4" fontId="27" fillId="0" borderId="0" xfId="0" applyNumberFormat="1" applyFont="1" applyAlignment="1">
      <alignment horizontal="center"/>
    </xf>
    <xf numFmtId="44" fontId="0" fillId="0" borderId="0" xfId="1451" applyFont="1" applyBorder="1"/>
    <xf numFmtId="0" fontId="27" fillId="0" borderId="33" xfId="0" applyFont="1" applyBorder="1" applyAlignment="1">
      <alignment horizontal="center"/>
    </xf>
    <xf numFmtId="8" fontId="49" fillId="0" borderId="33" xfId="1446" applyNumberFormat="1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horizontal="center"/>
    </xf>
    <xf numFmtId="44" fontId="0" fillId="0" borderId="33" xfId="1451" applyFont="1" applyBorder="1"/>
    <xf numFmtId="0" fontId="54" fillId="0" borderId="25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54" fillId="0" borderId="27" xfId="0" applyFont="1" applyBorder="1" applyAlignment="1">
      <alignment horizontal="center" vertical="center" wrapText="1"/>
    </xf>
    <xf numFmtId="49" fontId="53" fillId="0" borderId="24" xfId="1501" applyNumberFormat="1" applyFont="1" applyBorder="1" applyAlignment="1">
      <alignment horizontal="center" vertical="center" wrapText="1"/>
    </xf>
    <xf numFmtId="49" fontId="53" fillId="0" borderId="36" xfId="1501" applyNumberFormat="1" applyFont="1" applyBorder="1" applyAlignment="1">
      <alignment horizontal="center" vertical="center" wrapText="1"/>
    </xf>
    <xf numFmtId="0" fontId="53" fillId="0" borderId="22" xfId="1501" applyFont="1" applyBorder="1" applyAlignment="1">
      <alignment horizontal="center" vertical="center" wrapText="1"/>
    </xf>
    <xf numFmtId="0" fontId="53" fillId="0" borderId="34" xfId="1501" applyFont="1" applyBorder="1" applyAlignment="1">
      <alignment horizontal="center" vertical="center" wrapText="1"/>
    </xf>
    <xf numFmtId="0" fontId="53" fillId="0" borderId="23" xfId="1501" applyFont="1" applyBorder="1" applyAlignment="1">
      <alignment horizontal="center" vertical="center" wrapText="1"/>
    </xf>
    <xf numFmtId="0" fontId="53" fillId="0" borderId="35" xfId="1501" applyFont="1" applyBorder="1" applyAlignment="1">
      <alignment horizontal="center" vertical="center" wrapText="1"/>
    </xf>
    <xf numFmtId="49" fontId="53" fillId="0" borderId="23" xfId="1501" applyNumberFormat="1" applyFont="1" applyBorder="1" applyAlignment="1">
      <alignment horizontal="center" vertical="center" wrapText="1"/>
    </xf>
    <xf numFmtId="49" fontId="53" fillId="0" borderId="35" xfId="1501" applyNumberFormat="1" applyFont="1" applyBorder="1" applyAlignment="1">
      <alignment horizontal="center" vertical="center" wrapText="1"/>
    </xf>
    <xf numFmtId="49" fontId="5" fillId="47" borderId="10" xfId="1501" applyNumberFormat="1" applyFont="1" applyFill="1" applyBorder="1" applyAlignment="1">
      <alignment horizontal="center" vertical="center" wrapText="1"/>
    </xf>
    <xf numFmtId="1" fontId="5" fillId="47" borderId="10" xfId="1501" applyNumberFormat="1" applyFont="1" applyFill="1" applyBorder="1" applyAlignment="1">
      <alignment horizontal="center" vertical="center" wrapText="1"/>
    </xf>
    <xf numFmtId="0" fontId="5" fillId="47" borderId="10" xfId="1501" applyFont="1" applyFill="1" applyBorder="1" applyAlignment="1">
      <alignment horizontal="center" vertical="center" wrapText="1"/>
    </xf>
    <xf numFmtId="8" fontId="4" fillId="0" borderId="38" xfId="1501" applyNumberFormat="1" applyFont="1" applyBorder="1" applyAlignment="1">
      <alignment horizontal="center" vertical="center"/>
    </xf>
    <xf numFmtId="8" fontId="4" fillId="0" borderId="39" xfId="1501" applyNumberFormat="1" applyFont="1" applyBorder="1" applyAlignment="1">
      <alignment horizontal="center" vertical="center"/>
    </xf>
    <xf numFmtId="0" fontId="4" fillId="0" borderId="37" xfId="1501" applyFont="1" applyBorder="1" applyAlignment="1">
      <alignment horizontal="center" vertical="center"/>
    </xf>
  </cellXfs>
  <cellStyles count="2954">
    <cellStyle name="20% - Énfasis1" xfId="2059" builtinId="30" customBuiltin="1"/>
    <cellStyle name="20% - Énfasis1 1" xfId="1" xr:uid="{00000000-0005-0000-0000-000001000000}"/>
    <cellStyle name="20% - Énfasis1 1 2" xfId="2082" xr:uid="{00000000-0005-0000-0000-000002000000}"/>
    <cellStyle name="20% - Énfasis1 10" xfId="2" xr:uid="{00000000-0005-0000-0000-000003000000}"/>
    <cellStyle name="20% - Énfasis1 10 2" xfId="2083" xr:uid="{00000000-0005-0000-0000-000004000000}"/>
    <cellStyle name="20% - Énfasis1 11" xfId="3" xr:uid="{00000000-0005-0000-0000-000005000000}"/>
    <cellStyle name="20% - Énfasis1 11 2" xfId="2084" xr:uid="{00000000-0005-0000-0000-000006000000}"/>
    <cellStyle name="20% - Énfasis1 12" xfId="4" xr:uid="{00000000-0005-0000-0000-000007000000}"/>
    <cellStyle name="20% - Énfasis1 12 2" xfId="2085" xr:uid="{00000000-0005-0000-0000-000008000000}"/>
    <cellStyle name="20% - Énfasis1 13" xfId="5" xr:uid="{00000000-0005-0000-0000-000009000000}"/>
    <cellStyle name="20% - Énfasis1 13 2" xfId="2086" xr:uid="{00000000-0005-0000-0000-00000A000000}"/>
    <cellStyle name="20% - Énfasis1 14" xfId="6" xr:uid="{00000000-0005-0000-0000-00000B000000}"/>
    <cellStyle name="20% - Énfasis1 14 2" xfId="2087" xr:uid="{00000000-0005-0000-0000-00000C000000}"/>
    <cellStyle name="20% - Énfasis1 15" xfId="7" xr:uid="{00000000-0005-0000-0000-00000D000000}"/>
    <cellStyle name="20% - Énfasis1 15 2" xfId="2088" xr:uid="{00000000-0005-0000-0000-00000E000000}"/>
    <cellStyle name="20% - Énfasis1 16" xfId="8" xr:uid="{00000000-0005-0000-0000-00000F000000}"/>
    <cellStyle name="20% - Énfasis1 16 2" xfId="2089" xr:uid="{00000000-0005-0000-0000-000010000000}"/>
    <cellStyle name="20% - Énfasis1 17" xfId="9" xr:uid="{00000000-0005-0000-0000-000011000000}"/>
    <cellStyle name="20% - Énfasis1 17 2" xfId="2090" xr:uid="{00000000-0005-0000-0000-000012000000}"/>
    <cellStyle name="20% - Énfasis1 18" xfId="10" xr:uid="{00000000-0005-0000-0000-000013000000}"/>
    <cellStyle name="20% - Énfasis1 18 2" xfId="2091" xr:uid="{00000000-0005-0000-0000-000014000000}"/>
    <cellStyle name="20% - Énfasis1 19" xfId="11" xr:uid="{00000000-0005-0000-0000-000015000000}"/>
    <cellStyle name="20% - Énfasis1 19 2" xfId="2092" xr:uid="{00000000-0005-0000-0000-000016000000}"/>
    <cellStyle name="20% - Énfasis1 2" xfId="12" xr:uid="{00000000-0005-0000-0000-000017000000}"/>
    <cellStyle name="20% - Énfasis1 2 2" xfId="2093" xr:uid="{00000000-0005-0000-0000-000018000000}"/>
    <cellStyle name="20% - Énfasis1 20" xfId="13" xr:uid="{00000000-0005-0000-0000-000019000000}"/>
    <cellStyle name="20% - Énfasis1 20 2" xfId="2094" xr:uid="{00000000-0005-0000-0000-00001A000000}"/>
    <cellStyle name="20% - Énfasis1 21" xfId="14" xr:uid="{00000000-0005-0000-0000-00001B000000}"/>
    <cellStyle name="20% - Énfasis1 21 2" xfId="2095" xr:uid="{00000000-0005-0000-0000-00001C000000}"/>
    <cellStyle name="20% - Énfasis1 22" xfId="15" xr:uid="{00000000-0005-0000-0000-00001D000000}"/>
    <cellStyle name="20% - Énfasis1 22 2" xfId="2096" xr:uid="{00000000-0005-0000-0000-00001E000000}"/>
    <cellStyle name="20% - Énfasis1 23" xfId="16" xr:uid="{00000000-0005-0000-0000-00001F000000}"/>
    <cellStyle name="20% - Énfasis1 23 2" xfId="2097" xr:uid="{00000000-0005-0000-0000-000020000000}"/>
    <cellStyle name="20% - Énfasis1 24" xfId="17" xr:uid="{00000000-0005-0000-0000-000021000000}"/>
    <cellStyle name="20% - Énfasis1 24 2" xfId="2098" xr:uid="{00000000-0005-0000-0000-000022000000}"/>
    <cellStyle name="20% - Énfasis1 25" xfId="18" xr:uid="{00000000-0005-0000-0000-000023000000}"/>
    <cellStyle name="20% - Énfasis1 25 2" xfId="2099" xr:uid="{00000000-0005-0000-0000-000024000000}"/>
    <cellStyle name="20% - Énfasis1 26" xfId="19" xr:uid="{00000000-0005-0000-0000-000025000000}"/>
    <cellStyle name="20% - Énfasis1 26 2" xfId="2100" xr:uid="{00000000-0005-0000-0000-000026000000}"/>
    <cellStyle name="20% - Énfasis1 27" xfId="20" xr:uid="{00000000-0005-0000-0000-000027000000}"/>
    <cellStyle name="20% - Énfasis1 27 2" xfId="2101" xr:uid="{00000000-0005-0000-0000-000028000000}"/>
    <cellStyle name="20% - Énfasis1 28" xfId="21" xr:uid="{00000000-0005-0000-0000-000029000000}"/>
    <cellStyle name="20% - Énfasis1 28 2" xfId="2102" xr:uid="{00000000-0005-0000-0000-00002A000000}"/>
    <cellStyle name="20% - Énfasis1 29" xfId="22" xr:uid="{00000000-0005-0000-0000-00002B000000}"/>
    <cellStyle name="20% - Énfasis1 29 2" xfId="2103" xr:uid="{00000000-0005-0000-0000-00002C000000}"/>
    <cellStyle name="20% - Énfasis1 3" xfId="23" xr:uid="{00000000-0005-0000-0000-00002D000000}"/>
    <cellStyle name="20% - Énfasis1 3 2" xfId="2104" xr:uid="{00000000-0005-0000-0000-00002E000000}"/>
    <cellStyle name="20% - Énfasis1 30" xfId="24" xr:uid="{00000000-0005-0000-0000-00002F000000}"/>
    <cellStyle name="20% - Énfasis1 30 2" xfId="2105" xr:uid="{00000000-0005-0000-0000-000030000000}"/>
    <cellStyle name="20% - Énfasis1 31" xfId="25" xr:uid="{00000000-0005-0000-0000-000031000000}"/>
    <cellStyle name="20% - Énfasis1 31 2" xfId="2106" xr:uid="{00000000-0005-0000-0000-000032000000}"/>
    <cellStyle name="20% - Énfasis1 32" xfId="26" xr:uid="{00000000-0005-0000-0000-000033000000}"/>
    <cellStyle name="20% - Énfasis1 32 2" xfId="2107" xr:uid="{00000000-0005-0000-0000-000034000000}"/>
    <cellStyle name="20% - Énfasis1 33" xfId="27" xr:uid="{00000000-0005-0000-0000-000035000000}"/>
    <cellStyle name="20% - Énfasis1 33 2" xfId="2108" xr:uid="{00000000-0005-0000-0000-000036000000}"/>
    <cellStyle name="20% - Énfasis1 34" xfId="28" xr:uid="{00000000-0005-0000-0000-000037000000}"/>
    <cellStyle name="20% - Énfasis1 34 2" xfId="2109" xr:uid="{00000000-0005-0000-0000-000038000000}"/>
    <cellStyle name="20% - Énfasis1 35" xfId="29" xr:uid="{00000000-0005-0000-0000-000039000000}"/>
    <cellStyle name="20% - Énfasis1 35 2" xfId="2110" xr:uid="{00000000-0005-0000-0000-00003A000000}"/>
    <cellStyle name="20% - Énfasis1 36" xfId="30" xr:uid="{00000000-0005-0000-0000-00003B000000}"/>
    <cellStyle name="20% - Énfasis1 36 2" xfId="2111" xr:uid="{00000000-0005-0000-0000-00003C000000}"/>
    <cellStyle name="20% - Énfasis1 37" xfId="31" xr:uid="{00000000-0005-0000-0000-00003D000000}"/>
    <cellStyle name="20% - Énfasis1 37 2" xfId="2112" xr:uid="{00000000-0005-0000-0000-00003E000000}"/>
    <cellStyle name="20% - Énfasis1 38" xfId="32" xr:uid="{00000000-0005-0000-0000-00003F000000}"/>
    <cellStyle name="20% - Énfasis1 38 2" xfId="2113" xr:uid="{00000000-0005-0000-0000-000040000000}"/>
    <cellStyle name="20% - Énfasis1 39" xfId="33" xr:uid="{00000000-0005-0000-0000-000041000000}"/>
    <cellStyle name="20% - Énfasis1 39 2" xfId="2114" xr:uid="{00000000-0005-0000-0000-000042000000}"/>
    <cellStyle name="20% - Énfasis1 4" xfId="34" xr:uid="{00000000-0005-0000-0000-000043000000}"/>
    <cellStyle name="20% - Énfasis1 4 2" xfId="2115" xr:uid="{00000000-0005-0000-0000-000044000000}"/>
    <cellStyle name="20% - Énfasis1 40" xfId="35" xr:uid="{00000000-0005-0000-0000-000045000000}"/>
    <cellStyle name="20% - Énfasis1 40 2" xfId="2116" xr:uid="{00000000-0005-0000-0000-000046000000}"/>
    <cellStyle name="20% - Énfasis1 41" xfId="36" xr:uid="{00000000-0005-0000-0000-000047000000}"/>
    <cellStyle name="20% - Énfasis1 41 2" xfId="2117" xr:uid="{00000000-0005-0000-0000-000048000000}"/>
    <cellStyle name="20% - Énfasis1 42" xfId="37" xr:uid="{00000000-0005-0000-0000-000049000000}"/>
    <cellStyle name="20% - Énfasis1 42 2" xfId="2118" xr:uid="{00000000-0005-0000-0000-00004A000000}"/>
    <cellStyle name="20% - Énfasis1 43" xfId="38" xr:uid="{00000000-0005-0000-0000-00004B000000}"/>
    <cellStyle name="20% - Énfasis1 43 2" xfId="2119" xr:uid="{00000000-0005-0000-0000-00004C000000}"/>
    <cellStyle name="20% - Énfasis1 44" xfId="39" xr:uid="{00000000-0005-0000-0000-00004D000000}"/>
    <cellStyle name="20% - Énfasis1 44 2" xfId="2120" xr:uid="{00000000-0005-0000-0000-00004E000000}"/>
    <cellStyle name="20% - Énfasis1 45" xfId="40" xr:uid="{00000000-0005-0000-0000-00004F000000}"/>
    <cellStyle name="20% - Énfasis1 45 2" xfId="2121" xr:uid="{00000000-0005-0000-0000-000050000000}"/>
    <cellStyle name="20% - Énfasis1 46" xfId="41" xr:uid="{00000000-0005-0000-0000-000051000000}"/>
    <cellStyle name="20% - Énfasis1 46 2" xfId="2122" xr:uid="{00000000-0005-0000-0000-000052000000}"/>
    <cellStyle name="20% - Énfasis1 47" xfId="42" xr:uid="{00000000-0005-0000-0000-000053000000}"/>
    <cellStyle name="20% - Énfasis1 47 2" xfId="2123" xr:uid="{00000000-0005-0000-0000-000054000000}"/>
    <cellStyle name="20% - Énfasis1 5" xfId="43" xr:uid="{00000000-0005-0000-0000-000055000000}"/>
    <cellStyle name="20% - Énfasis1 5 2" xfId="2124" xr:uid="{00000000-0005-0000-0000-000056000000}"/>
    <cellStyle name="20% - Énfasis1 6" xfId="44" xr:uid="{00000000-0005-0000-0000-000057000000}"/>
    <cellStyle name="20% - Énfasis1 6 2" xfId="2125" xr:uid="{00000000-0005-0000-0000-000058000000}"/>
    <cellStyle name="20% - Énfasis1 7" xfId="45" xr:uid="{00000000-0005-0000-0000-000059000000}"/>
    <cellStyle name="20% - Énfasis1 7 2" xfId="2126" xr:uid="{00000000-0005-0000-0000-00005A000000}"/>
    <cellStyle name="20% - Énfasis1 8" xfId="46" xr:uid="{00000000-0005-0000-0000-00005B000000}"/>
    <cellStyle name="20% - Énfasis1 8 2" xfId="2127" xr:uid="{00000000-0005-0000-0000-00005C000000}"/>
    <cellStyle name="20% - Énfasis1 9" xfId="47" xr:uid="{00000000-0005-0000-0000-00005D000000}"/>
    <cellStyle name="20% - Énfasis1 9 2" xfId="2128" xr:uid="{00000000-0005-0000-0000-00005E000000}"/>
    <cellStyle name="20% - Énfasis2" xfId="2063" builtinId="34" customBuiltin="1"/>
    <cellStyle name="20% - Énfasis2 1" xfId="48" xr:uid="{00000000-0005-0000-0000-000060000000}"/>
    <cellStyle name="20% - Énfasis2 1 2" xfId="2129" xr:uid="{00000000-0005-0000-0000-000061000000}"/>
    <cellStyle name="20% - Énfasis2 10" xfId="49" xr:uid="{00000000-0005-0000-0000-000062000000}"/>
    <cellStyle name="20% - Énfasis2 10 2" xfId="2130" xr:uid="{00000000-0005-0000-0000-000063000000}"/>
    <cellStyle name="20% - Énfasis2 11" xfId="50" xr:uid="{00000000-0005-0000-0000-000064000000}"/>
    <cellStyle name="20% - Énfasis2 11 2" xfId="2131" xr:uid="{00000000-0005-0000-0000-000065000000}"/>
    <cellStyle name="20% - Énfasis2 12" xfId="51" xr:uid="{00000000-0005-0000-0000-000066000000}"/>
    <cellStyle name="20% - Énfasis2 12 2" xfId="2132" xr:uid="{00000000-0005-0000-0000-000067000000}"/>
    <cellStyle name="20% - Énfasis2 13" xfId="52" xr:uid="{00000000-0005-0000-0000-000068000000}"/>
    <cellStyle name="20% - Énfasis2 13 2" xfId="2133" xr:uid="{00000000-0005-0000-0000-000069000000}"/>
    <cellStyle name="20% - Énfasis2 14" xfId="53" xr:uid="{00000000-0005-0000-0000-00006A000000}"/>
    <cellStyle name="20% - Énfasis2 14 2" xfId="2134" xr:uid="{00000000-0005-0000-0000-00006B000000}"/>
    <cellStyle name="20% - Énfasis2 15" xfId="54" xr:uid="{00000000-0005-0000-0000-00006C000000}"/>
    <cellStyle name="20% - Énfasis2 15 2" xfId="2135" xr:uid="{00000000-0005-0000-0000-00006D000000}"/>
    <cellStyle name="20% - Énfasis2 16" xfId="55" xr:uid="{00000000-0005-0000-0000-00006E000000}"/>
    <cellStyle name="20% - Énfasis2 16 2" xfId="2136" xr:uid="{00000000-0005-0000-0000-00006F000000}"/>
    <cellStyle name="20% - Énfasis2 17" xfId="56" xr:uid="{00000000-0005-0000-0000-000070000000}"/>
    <cellStyle name="20% - Énfasis2 17 2" xfId="2137" xr:uid="{00000000-0005-0000-0000-000071000000}"/>
    <cellStyle name="20% - Énfasis2 18" xfId="57" xr:uid="{00000000-0005-0000-0000-000072000000}"/>
    <cellStyle name="20% - Énfasis2 18 2" xfId="2138" xr:uid="{00000000-0005-0000-0000-000073000000}"/>
    <cellStyle name="20% - Énfasis2 19" xfId="58" xr:uid="{00000000-0005-0000-0000-000074000000}"/>
    <cellStyle name="20% - Énfasis2 19 2" xfId="2139" xr:uid="{00000000-0005-0000-0000-000075000000}"/>
    <cellStyle name="20% - Énfasis2 2" xfId="59" xr:uid="{00000000-0005-0000-0000-000076000000}"/>
    <cellStyle name="20% - Énfasis2 2 2" xfId="2140" xr:uid="{00000000-0005-0000-0000-000077000000}"/>
    <cellStyle name="20% - Énfasis2 20" xfId="60" xr:uid="{00000000-0005-0000-0000-000078000000}"/>
    <cellStyle name="20% - Énfasis2 20 2" xfId="2141" xr:uid="{00000000-0005-0000-0000-000079000000}"/>
    <cellStyle name="20% - Énfasis2 21" xfId="61" xr:uid="{00000000-0005-0000-0000-00007A000000}"/>
    <cellStyle name="20% - Énfasis2 21 2" xfId="2142" xr:uid="{00000000-0005-0000-0000-00007B000000}"/>
    <cellStyle name="20% - Énfasis2 22" xfId="62" xr:uid="{00000000-0005-0000-0000-00007C000000}"/>
    <cellStyle name="20% - Énfasis2 22 2" xfId="2143" xr:uid="{00000000-0005-0000-0000-00007D000000}"/>
    <cellStyle name="20% - Énfasis2 23" xfId="63" xr:uid="{00000000-0005-0000-0000-00007E000000}"/>
    <cellStyle name="20% - Énfasis2 23 2" xfId="2144" xr:uid="{00000000-0005-0000-0000-00007F000000}"/>
    <cellStyle name="20% - Énfasis2 24" xfId="64" xr:uid="{00000000-0005-0000-0000-000080000000}"/>
    <cellStyle name="20% - Énfasis2 24 2" xfId="2145" xr:uid="{00000000-0005-0000-0000-000081000000}"/>
    <cellStyle name="20% - Énfasis2 25" xfId="65" xr:uid="{00000000-0005-0000-0000-000082000000}"/>
    <cellStyle name="20% - Énfasis2 25 2" xfId="2146" xr:uid="{00000000-0005-0000-0000-000083000000}"/>
    <cellStyle name="20% - Énfasis2 26" xfId="66" xr:uid="{00000000-0005-0000-0000-000084000000}"/>
    <cellStyle name="20% - Énfasis2 26 2" xfId="2147" xr:uid="{00000000-0005-0000-0000-000085000000}"/>
    <cellStyle name="20% - Énfasis2 27" xfId="67" xr:uid="{00000000-0005-0000-0000-000086000000}"/>
    <cellStyle name="20% - Énfasis2 27 2" xfId="2148" xr:uid="{00000000-0005-0000-0000-000087000000}"/>
    <cellStyle name="20% - Énfasis2 28" xfId="68" xr:uid="{00000000-0005-0000-0000-000088000000}"/>
    <cellStyle name="20% - Énfasis2 28 2" xfId="2149" xr:uid="{00000000-0005-0000-0000-000089000000}"/>
    <cellStyle name="20% - Énfasis2 29" xfId="69" xr:uid="{00000000-0005-0000-0000-00008A000000}"/>
    <cellStyle name="20% - Énfasis2 29 2" xfId="2150" xr:uid="{00000000-0005-0000-0000-00008B000000}"/>
    <cellStyle name="20% - Énfasis2 3" xfId="70" xr:uid="{00000000-0005-0000-0000-00008C000000}"/>
    <cellStyle name="20% - Énfasis2 3 2" xfId="2151" xr:uid="{00000000-0005-0000-0000-00008D000000}"/>
    <cellStyle name="20% - Énfasis2 30" xfId="71" xr:uid="{00000000-0005-0000-0000-00008E000000}"/>
    <cellStyle name="20% - Énfasis2 30 2" xfId="2152" xr:uid="{00000000-0005-0000-0000-00008F000000}"/>
    <cellStyle name="20% - Énfasis2 31" xfId="72" xr:uid="{00000000-0005-0000-0000-000090000000}"/>
    <cellStyle name="20% - Énfasis2 31 2" xfId="2153" xr:uid="{00000000-0005-0000-0000-000091000000}"/>
    <cellStyle name="20% - Énfasis2 32" xfId="73" xr:uid="{00000000-0005-0000-0000-000092000000}"/>
    <cellStyle name="20% - Énfasis2 32 2" xfId="2154" xr:uid="{00000000-0005-0000-0000-000093000000}"/>
    <cellStyle name="20% - Énfasis2 33" xfId="74" xr:uid="{00000000-0005-0000-0000-000094000000}"/>
    <cellStyle name="20% - Énfasis2 33 2" xfId="2155" xr:uid="{00000000-0005-0000-0000-000095000000}"/>
    <cellStyle name="20% - Énfasis2 34" xfId="75" xr:uid="{00000000-0005-0000-0000-000096000000}"/>
    <cellStyle name="20% - Énfasis2 34 2" xfId="2156" xr:uid="{00000000-0005-0000-0000-000097000000}"/>
    <cellStyle name="20% - Énfasis2 35" xfId="76" xr:uid="{00000000-0005-0000-0000-000098000000}"/>
    <cellStyle name="20% - Énfasis2 35 2" xfId="2157" xr:uid="{00000000-0005-0000-0000-000099000000}"/>
    <cellStyle name="20% - Énfasis2 36" xfId="77" xr:uid="{00000000-0005-0000-0000-00009A000000}"/>
    <cellStyle name="20% - Énfasis2 36 2" xfId="2158" xr:uid="{00000000-0005-0000-0000-00009B000000}"/>
    <cellStyle name="20% - Énfasis2 37" xfId="78" xr:uid="{00000000-0005-0000-0000-00009C000000}"/>
    <cellStyle name="20% - Énfasis2 37 2" xfId="2159" xr:uid="{00000000-0005-0000-0000-00009D000000}"/>
    <cellStyle name="20% - Énfasis2 38" xfId="79" xr:uid="{00000000-0005-0000-0000-00009E000000}"/>
    <cellStyle name="20% - Énfasis2 38 2" xfId="2160" xr:uid="{00000000-0005-0000-0000-00009F000000}"/>
    <cellStyle name="20% - Énfasis2 39" xfId="80" xr:uid="{00000000-0005-0000-0000-0000A0000000}"/>
    <cellStyle name="20% - Énfasis2 39 2" xfId="2161" xr:uid="{00000000-0005-0000-0000-0000A1000000}"/>
    <cellStyle name="20% - Énfasis2 4" xfId="81" xr:uid="{00000000-0005-0000-0000-0000A2000000}"/>
    <cellStyle name="20% - Énfasis2 4 2" xfId="2162" xr:uid="{00000000-0005-0000-0000-0000A3000000}"/>
    <cellStyle name="20% - Énfasis2 40" xfId="82" xr:uid="{00000000-0005-0000-0000-0000A4000000}"/>
    <cellStyle name="20% - Énfasis2 40 2" xfId="2163" xr:uid="{00000000-0005-0000-0000-0000A5000000}"/>
    <cellStyle name="20% - Énfasis2 41" xfId="83" xr:uid="{00000000-0005-0000-0000-0000A6000000}"/>
    <cellStyle name="20% - Énfasis2 41 2" xfId="2164" xr:uid="{00000000-0005-0000-0000-0000A7000000}"/>
    <cellStyle name="20% - Énfasis2 42" xfId="84" xr:uid="{00000000-0005-0000-0000-0000A8000000}"/>
    <cellStyle name="20% - Énfasis2 42 2" xfId="2165" xr:uid="{00000000-0005-0000-0000-0000A9000000}"/>
    <cellStyle name="20% - Énfasis2 43" xfId="85" xr:uid="{00000000-0005-0000-0000-0000AA000000}"/>
    <cellStyle name="20% - Énfasis2 43 2" xfId="2166" xr:uid="{00000000-0005-0000-0000-0000AB000000}"/>
    <cellStyle name="20% - Énfasis2 44" xfId="86" xr:uid="{00000000-0005-0000-0000-0000AC000000}"/>
    <cellStyle name="20% - Énfasis2 44 2" xfId="2167" xr:uid="{00000000-0005-0000-0000-0000AD000000}"/>
    <cellStyle name="20% - Énfasis2 45" xfId="87" xr:uid="{00000000-0005-0000-0000-0000AE000000}"/>
    <cellStyle name="20% - Énfasis2 45 2" xfId="2168" xr:uid="{00000000-0005-0000-0000-0000AF000000}"/>
    <cellStyle name="20% - Énfasis2 46" xfId="88" xr:uid="{00000000-0005-0000-0000-0000B0000000}"/>
    <cellStyle name="20% - Énfasis2 46 2" xfId="2169" xr:uid="{00000000-0005-0000-0000-0000B1000000}"/>
    <cellStyle name="20% - Énfasis2 47" xfId="89" xr:uid="{00000000-0005-0000-0000-0000B2000000}"/>
    <cellStyle name="20% - Énfasis2 47 2" xfId="2170" xr:uid="{00000000-0005-0000-0000-0000B3000000}"/>
    <cellStyle name="20% - Énfasis2 5" xfId="90" xr:uid="{00000000-0005-0000-0000-0000B4000000}"/>
    <cellStyle name="20% - Énfasis2 5 2" xfId="2171" xr:uid="{00000000-0005-0000-0000-0000B5000000}"/>
    <cellStyle name="20% - Énfasis2 6" xfId="91" xr:uid="{00000000-0005-0000-0000-0000B6000000}"/>
    <cellStyle name="20% - Énfasis2 6 2" xfId="2172" xr:uid="{00000000-0005-0000-0000-0000B7000000}"/>
    <cellStyle name="20% - Énfasis2 7" xfId="92" xr:uid="{00000000-0005-0000-0000-0000B8000000}"/>
    <cellStyle name="20% - Énfasis2 7 2" xfId="2173" xr:uid="{00000000-0005-0000-0000-0000B9000000}"/>
    <cellStyle name="20% - Énfasis2 8" xfId="93" xr:uid="{00000000-0005-0000-0000-0000BA000000}"/>
    <cellStyle name="20% - Énfasis2 8 2" xfId="2174" xr:uid="{00000000-0005-0000-0000-0000BB000000}"/>
    <cellStyle name="20% - Énfasis2 9" xfId="94" xr:uid="{00000000-0005-0000-0000-0000BC000000}"/>
    <cellStyle name="20% - Énfasis2 9 2" xfId="2175" xr:uid="{00000000-0005-0000-0000-0000BD000000}"/>
    <cellStyle name="20% - Énfasis3" xfId="2067" builtinId="38" customBuiltin="1"/>
    <cellStyle name="20% - Énfasis3 1" xfId="95" xr:uid="{00000000-0005-0000-0000-0000BF000000}"/>
    <cellStyle name="20% - Énfasis3 1 2" xfId="2176" xr:uid="{00000000-0005-0000-0000-0000C0000000}"/>
    <cellStyle name="20% - Énfasis3 10" xfId="96" xr:uid="{00000000-0005-0000-0000-0000C1000000}"/>
    <cellStyle name="20% - Énfasis3 10 2" xfId="2177" xr:uid="{00000000-0005-0000-0000-0000C2000000}"/>
    <cellStyle name="20% - Énfasis3 11" xfId="97" xr:uid="{00000000-0005-0000-0000-0000C3000000}"/>
    <cellStyle name="20% - Énfasis3 11 2" xfId="2178" xr:uid="{00000000-0005-0000-0000-0000C4000000}"/>
    <cellStyle name="20% - Énfasis3 12" xfId="98" xr:uid="{00000000-0005-0000-0000-0000C5000000}"/>
    <cellStyle name="20% - Énfasis3 12 2" xfId="2179" xr:uid="{00000000-0005-0000-0000-0000C6000000}"/>
    <cellStyle name="20% - Énfasis3 13" xfId="99" xr:uid="{00000000-0005-0000-0000-0000C7000000}"/>
    <cellStyle name="20% - Énfasis3 13 2" xfId="2180" xr:uid="{00000000-0005-0000-0000-0000C8000000}"/>
    <cellStyle name="20% - Énfasis3 14" xfId="100" xr:uid="{00000000-0005-0000-0000-0000C9000000}"/>
    <cellStyle name="20% - Énfasis3 14 2" xfId="2181" xr:uid="{00000000-0005-0000-0000-0000CA000000}"/>
    <cellStyle name="20% - Énfasis3 15" xfId="101" xr:uid="{00000000-0005-0000-0000-0000CB000000}"/>
    <cellStyle name="20% - Énfasis3 15 2" xfId="2182" xr:uid="{00000000-0005-0000-0000-0000CC000000}"/>
    <cellStyle name="20% - Énfasis3 16" xfId="102" xr:uid="{00000000-0005-0000-0000-0000CD000000}"/>
    <cellStyle name="20% - Énfasis3 16 2" xfId="2183" xr:uid="{00000000-0005-0000-0000-0000CE000000}"/>
    <cellStyle name="20% - Énfasis3 17" xfId="103" xr:uid="{00000000-0005-0000-0000-0000CF000000}"/>
    <cellStyle name="20% - Énfasis3 17 2" xfId="2184" xr:uid="{00000000-0005-0000-0000-0000D0000000}"/>
    <cellStyle name="20% - Énfasis3 18" xfId="104" xr:uid="{00000000-0005-0000-0000-0000D1000000}"/>
    <cellStyle name="20% - Énfasis3 18 2" xfId="2185" xr:uid="{00000000-0005-0000-0000-0000D2000000}"/>
    <cellStyle name="20% - Énfasis3 19" xfId="105" xr:uid="{00000000-0005-0000-0000-0000D3000000}"/>
    <cellStyle name="20% - Énfasis3 19 2" xfId="2186" xr:uid="{00000000-0005-0000-0000-0000D4000000}"/>
    <cellStyle name="20% - Énfasis3 2" xfId="106" xr:uid="{00000000-0005-0000-0000-0000D5000000}"/>
    <cellStyle name="20% - Énfasis3 2 2" xfId="2187" xr:uid="{00000000-0005-0000-0000-0000D6000000}"/>
    <cellStyle name="20% - Énfasis3 20" xfId="107" xr:uid="{00000000-0005-0000-0000-0000D7000000}"/>
    <cellStyle name="20% - Énfasis3 20 2" xfId="2188" xr:uid="{00000000-0005-0000-0000-0000D8000000}"/>
    <cellStyle name="20% - Énfasis3 21" xfId="108" xr:uid="{00000000-0005-0000-0000-0000D9000000}"/>
    <cellStyle name="20% - Énfasis3 21 2" xfId="2189" xr:uid="{00000000-0005-0000-0000-0000DA000000}"/>
    <cellStyle name="20% - Énfasis3 22" xfId="109" xr:uid="{00000000-0005-0000-0000-0000DB000000}"/>
    <cellStyle name="20% - Énfasis3 22 2" xfId="2190" xr:uid="{00000000-0005-0000-0000-0000DC000000}"/>
    <cellStyle name="20% - Énfasis3 23" xfId="110" xr:uid="{00000000-0005-0000-0000-0000DD000000}"/>
    <cellStyle name="20% - Énfasis3 23 2" xfId="2191" xr:uid="{00000000-0005-0000-0000-0000DE000000}"/>
    <cellStyle name="20% - Énfasis3 24" xfId="111" xr:uid="{00000000-0005-0000-0000-0000DF000000}"/>
    <cellStyle name="20% - Énfasis3 24 2" xfId="2192" xr:uid="{00000000-0005-0000-0000-0000E0000000}"/>
    <cellStyle name="20% - Énfasis3 25" xfId="112" xr:uid="{00000000-0005-0000-0000-0000E1000000}"/>
    <cellStyle name="20% - Énfasis3 25 2" xfId="2193" xr:uid="{00000000-0005-0000-0000-0000E2000000}"/>
    <cellStyle name="20% - Énfasis3 26" xfId="113" xr:uid="{00000000-0005-0000-0000-0000E3000000}"/>
    <cellStyle name="20% - Énfasis3 26 2" xfId="2194" xr:uid="{00000000-0005-0000-0000-0000E4000000}"/>
    <cellStyle name="20% - Énfasis3 27" xfId="114" xr:uid="{00000000-0005-0000-0000-0000E5000000}"/>
    <cellStyle name="20% - Énfasis3 27 2" xfId="2195" xr:uid="{00000000-0005-0000-0000-0000E6000000}"/>
    <cellStyle name="20% - Énfasis3 28" xfId="115" xr:uid="{00000000-0005-0000-0000-0000E7000000}"/>
    <cellStyle name="20% - Énfasis3 28 2" xfId="2196" xr:uid="{00000000-0005-0000-0000-0000E8000000}"/>
    <cellStyle name="20% - Énfasis3 29" xfId="116" xr:uid="{00000000-0005-0000-0000-0000E9000000}"/>
    <cellStyle name="20% - Énfasis3 29 2" xfId="2197" xr:uid="{00000000-0005-0000-0000-0000EA000000}"/>
    <cellStyle name="20% - Énfasis3 3" xfId="117" xr:uid="{00000000-0005-0000-0000-0000EB000000}"/>
    <cellStyle name="20% - Énfasis3 3 2" xfId="2198" xr:uid="{00000000-0005-0000-0000-0000EC000000}"/>
    <cellStyle name="20% - Énfasis3 30" xfId="118" xr:uid="{00000000-0005-0000-0000-0000ED000000}"/>
    <cellStyle name="20% - Énfasis3 30 2" xfId="2199" xr:uid="{00000000-0005-0000-0000-0000EE000000}"/>
    <cellStyle name="20% - Énfasis3 31" xfId="119" xr:uid="{00000000-0005-0000-0000-0000EF000000}"/>
    <cellStyle name="20% - Énfasis3 31 2" xfId="2200" xr:uid="{00000000-0005-0000-0000-0000F0000000}"/>
    <cellStyle name="20% - Énfasis3 32" xfId="120" xr:uid="{00000000-0005-0000-0000-0000F1000000}"/>
    <cellStyle name="20% - Énfasis3 32 2" xfId="2201" xr:uid="{00000000-0005-0000-0000-0000F2000000}"/>
    <cellStyle name="20% - Énfasis3 33" xfId="121" xr:uid="{00000000-0005-0000-0000-0000F3000000}"/>
    <cellStyle name="20% - Énfasis3 33 2" xfId="2202" xr:uid="{00000000-0005-0000-0000-0000F4000000}"/>
    <cellStyle name="20% - Énfasis3 34" xfId="122" xr:uid="{00000000-0005-0000-0000-0000F5000000}"/>
    <cellStyle name="20% - Énfasis3 34 2" xfId="2203" xr:uid="{00000000-0005-0000-0000-0000F6000000}"/>
    <cellStyle name="20% - Énfasis3 35" xfId="123" xr:uid="{00000000-0005-0000-0000-0000F7000000}"/>
    <cellStyle name="20% - Énfasis3 35 2" xfId="2204" xr:uid="{00000000-0005-0000-0000-0000F8000000}"/>
    <cellStyle name="20% - Énfasis3 36" xfId="124" xr:uid="{00000000-0005-0000-0000-0000F9000000}"/>
    <cellStyle name="20% - Énfasis3 36 2" xfId="2205" xr:uid="{00000000-0005-0000-0000-0000FA000000}"/>
    <cellStyle name="20% - Énfasis3 37" xfId="125" xr:uid="{00000000-0005-0000-0000-0000FB000000}"/>
    <cellStyle name="20% - Énfasis3 37 2" xfId="2206" xr:uid="{00000000-0005-0000-0000-0000FC000000}"/>
    <cellStyle name="20% - Énfasis3 38" xfId="126" xr:uid="{00000000-0005-0000-0000-0000FD000000}"/>
    <cellStyle name="20% - Énfasis3 38 2" xfId="2207" xr:uid="{00000000-0005-0000-0000-0000FE000000}"/>
    <cellStyle name="20% - Énfasis3 39" xfId="127" xr:uid="{00000000-0005-0000-0000-0000FF000000}"/>
    <cellStyle name="20% - Énfasis3 39 2" xfId="2208" xr:uid="{00000000-0005-0000-0000-000000010000}"/>
    <cellStyle name="20% - Énfasis3 4" xfId="128" xr:uid="{00000000-0005-0000-0000-000001010000}"/>
    <cellStyle name="20% - Énfasis3 4 2" xfId="2209" xr:uid="{00000000-0005-0000-0000-000002010000}"/>
    <cellStyle name="20% - Énfasis3 40" xfId="129" xr:uid="{00000000-0005-0000-0000-000003010000}"/>
    <cellStyle name="20% - Énfasis3 40 2" xfId="2210" xr:uid="{00000000-0005-0000-0000-000004010000}"/>
    <cellStyle name="20% - Énfasis3 41" xfId="130" xr:uid="{00000000-0005-0000-0000-000005010000}"/>
    <cellStyle name="20% - Énfasis3 41 2" xfId="2211" xr:uid="{00000000-0005-0000-0000-000006010000}"/>
    <cellStyle name="20% - Énfasis3 42" xfId="131" xr:uid="{00000000-0005-0000-0000-000007010000}"/>
    <cellStyle name="20% - Énfasis3 42 2" xfId="2212" xr:uid="{00000000-0005-0000-0000-000008010000}"/>
    <cellStyle name="20% - Énfasis3 43" xfId="132" xr:uid="{00000000-0005-0000-0000-000009010000}"/>
    <cellStyle name="20% - Énfasis3 43 2" xfId="2213" xr:uid="{00000000-0005-0000-0000-00000A010000}"/>
    <cellStyle name="20% - Énfasis3 44" xfId="133" xr:uid="{00000000-0005-0000-0000-00000B010000}"/>
    <cellStyle name="20% - Énfasis3 44 2" xfId="2214" xr:uid="{00000000-0005-0000-0000-00000C010000}"/>
    <cellStyle name="20% - Énfasis3 45" xfId="134" xr:uid="{00000000-0005-0000-0000-00000D010000}"/>
    <cellStyle name="20% - Énfasis3 45 2" xfId="2215" xr:uid="{00000000-0005-0000-0000-00000E010000}"/>
    <cellStyle name="20% - Énfasis3 46" xfId="135" xr:uid="{00000000-0005-0000-0000-00000F010000}"/>
    <cellStyle name="20% - Énfasis3 46 2" xfId="2216" xr:uid="{00000000-0005-0000-0000-000010010000}"/>
    <cellStyle name="20% - Énfasis3 47" xfId="136" xr:uid="{00000000-0005-0000-0000-000011010000}"/>
    <cellStyle name="20% - Énfasis3 47 2" xfId="2217" xr:uid="{00000000-0005-0000-0000-000012010000}"/>
    <cellStyle name="20% - Énfasis3 5" xfId="137" xr:uid="{00000000-0005-0000-0000-000013010000}"/>
    <cellStyle name="20% - Énfasis3 5 2" xfId="2218" xr:uid="{00000000-0005-0000-0000-000014010000}"/>
    <cellStyle name="20% - Énfasis3 6" xfId="138" xr:uid="{00000000-0005-0000-0000-000015010000}"/>
    <cellStyle name="20% - Énfasis3 6 2" xfId="2219" xr:uid="{00000000-0005-0000-0000-000016010000}"/>
    <cellStyle name="20% - Énfasis3 7" xfId="139" xr:uid="{00000000-0005-0000-0000-000017010000}"/>
    <cellStyle name="20% - Énfasis3 7 2" xfId="2220" xr:uid="{00000000-0005-0000-0000-000018010000}"/>
    <cellStyle name="20% - Énfasis3 8" xfId="140" xr:uid="{00000000-0005-0000-0000-000019010000}"/>
    <cellStyle name="20% - Énfasis3 8 2" xfId="2221" xr:uid="{00000000-0005-0000-0000-00001A010000}"/>
    <cellStyle name="20% - Énfasis3 9" xfId="141" xr:uid="{00000000-0005-0000-0000-00001B010000}"/>
    <cellStyle name="20% - Énfasis3 9 2" xfId="2222" xr:uid="{00000000-0005-0000-0000-00001C010000}"/>
    <cellStyle name="20% - Énfasis4" xfId="2071" builtinId="42" customBuiltin="1"/>
    <cellStyle name="20% - Énfasis4 1" xfId="142" xr:uid="{00000000-0005-0000-0000-00001E010000}"/>
    <cellStyle name="20% - Énfasis4 1 2" xfId="2223" xr:uid="{00000000-0005-0000-0000-00001F010000}"/>
    <cellStyle name="20% - Énfasis4 10" xfId="143" xr:uid="{00000000-0005-0000-0000-000020010000}"/>
    <cellStyle name="20% - Énfasis4 10 2" xfId="2224" xr:uid="{00000000-0005-0000-0000-000021010000}"/>
    <cellStyle name="20% - Énfasis4 11" xfId="144" xr:uid="{00000000-0005-0000-0000-000022010000}"/>
    <cellStyle name="20% - Énfasis4 11 2" xfId="2225" xr:uid="{00000000-0005-0000-0000-000023010000}"/>
    <cellStyle name="20% - Énfasis4 12" xfId="145" xr:uid="{00000000-0005-0000-0000-000024010000}"/>
    <cellStyle name="20% - Énfasis4 12 2" xfId="2226" xr:uid="{00000000-0005-0000-0000-000025010000}"/>
    <cellStyle name="20% - Énfasis4 13" xfId="146" xr:uid="{00000000-0005-0000-0000-000026010000}"/>
    <cellStyle name="20% - Énfasis4 13 2" xfId="2227" xr:uid="{00000000-0005-0000-0000-000027010000}"/>
    <cellStyle name="20% - Énfasis4 14" xfId="147" xr:uid="{00000000-0005-0000-0000-000028010000}"/>
    <cellStyle name="20% - Énfasis4 14 2" xfId="2228" xr:uid="{00000000-0005-0000-0000-000029010000}"/>
    <cellStyle name="20% - Énfasis4 15" xfId="148" xr:uid="{00000000-0005-0000-0000-00002A010000}"/>
    <cellStyle name="20% - Énfasis4 15 2" xfId="2229" xr:uid="{00000000-0005-0000-0000-00002B010000}"/>
    <cellStyle name="20% - Énfasis4 16" xfId="149" xr:uid="{00000000-0005-0000-0000-00002C010000}"/>
    <cellStyle name="20% - Énfasis4 16 2" xfId="2230" xr:uid="{00000000-0005-0000-0000-00002D010000}"/>
    <cellStyle name="20% - Énfasis4 17" xfId="150" xr:uid="{00000000-0005-0000-0000-00002E010000}"/>
    <cellStyle name="20% - Énfasis4 17 2" xfId="2231" xr:uid="{00000000-0005-0000-0000-00002F010000}"/>
    <cellStyle name="20% - Énfasis4 18" xfId="151" xr:uid="{00000000-0005-0000-0000-000030010000}"/>
    <cellStyle name="20% - Énfasis4 18 2" xfId="2232" xr:uid="{00000000-0005-0000-0000-000031010000}"/>
    <cellStyle name="20% - Énfasis4 19" xfId="152" xr:uid="{00000000-0005-0000-0000-000032010000}"/>
    <cellStyle name="20% - Énfasis4 19 2" xfId="2233" xr:uid="{00000000-0005-0000-0000-000033010000}"/>
    <cellStyle name="20% - Énfasis4 2" xfId="153" xr:uid="{00000000-0005-0000-0000-000034010000}"/>
    <cellStyle name="20% - Énfasis4 2 2" xfId="2234" xr:uid="{00000000-0005-0000-0000-000035010000}"/>
    <cellStyle name="20% - Énfasis4 20" xfId="154" xr:uid="{00000000-0005-0000-0000-000036010000}"/>
    <cellStyle name="20% - Énfasis4 20 2" xfId="2235" xr:uid="{00000000-0005-0000-0000-000037010000}"/>
    <cellStyle name="20% - Énfasis4 21" xfId="155" xr:uid="{00000000-0005-0000-0000-000038010000}"/>
    <cellStyle name="20% - Énfasis4 21 2" xfId="2236" xr:uid="{00000000-0005-0000-0000-000039010000}"/>
    <cellStyle name="20% - Énfasis4 22" xfId="156" xr:uid="{00000000-0005-0000-0000-00003A010000}"/>
    <cellStyle name="20% - Énfasis4 22 2" xfId="2237" xr:uid="{00000000-0005-0000-0000-00003B010000}"/>
    <cellStyle name="20% - Énfasis4 23" xfId="157" xr:uid="{00000000-0005-0000-0000-00003C010000}"/>
    <cellStyle name="20% - Énfasis4 23 2" xfId="2238" xr:uid="{00000000-0005-0000-0000-00003D010000}"/>
    <cellStyle name="20% - Énfasis4 24" xfId="158" xr:uid="{00000000-0005-0000-0000-00003E010000}"/>
    <cellStyle name="20% - Énfasis4 24 2" xfId="2239" xr:uid="{00000000-0005-0000-0000-00003F010000}"/>
    <cellStyle name="20% - Énfasis4 25" xfId="159" xr:uid="{00000000-0005-0000-0000-000040010000}"/>
    <cellStyle name="20% - Énfasis4 25 2" xfId="2240" xr:uid="{00000000-0005-0000-0000-000041010000}"/>
    <cellStyle name="20% - Énfasis4 26" xfId="160" xr:uid="{00000000-0005-0000-0000-000042010000}"/>
    <cellStyle name="20% - Énfasis4 26 2" xfId="2241" xr:uid="{00000000-0005-0000-0000-000043010000}"/>
    <cellStyle name="20% - Énfasis4 27" xfId="161" xr:uid="{00000000-0005-0000-0000-000044010000}"/>
    <cellStyle name="20% - Énfasis4 27 2" xfId="2242" xr:uid="{00000000-0005-0000-0000-000045010000}"/>
    <cellStyle name="20% - Énfasis4 28" xfId="162" xr:uid="{00000000-0005-0000-0000-000046010000}"/>
    <cellStyle name="20% - Énfasis4 28 2" xfId="2243" xr:uid="{00000000-0005-0000-0000-000047010000}"/>
    <cellStyle name="20% - Énfasis4 29" xfId="163" xr:uid="{00000000-0005-0000-0000-000048010000}"/>
    <cellStyle name="20% - Énfasis4 29 2" xfId="2244" xr:uid="{00000000-0005-0000-0000-000049010000}"/>
    <cellStyle name="20% - Énfasis4 3" xfId="164" xr:uid="{00000000-0005-0000-0000-00004A010000}"/>
    <cellStyle name="20% - Énfasis4 3 2" xfId="2245" xr:uid="{00000000-0005-0000-0000-00004B010000}"/>
    <cellStyle name="20% - Énfasis4 30" xfId="165" xr:uid="{00000000-0005-0000-0000-00004C010000}"/>
    <cellStyle name="20% - Énfasis4 30 2" xfId="2246" xr:uid="{00000000-0005-0000-0000-00004D010000}"/>
    <cellStyle name="20% - Énfasis4 31" xfId="166" xr:uid="{00000000-0005-0000-0000-00004E010000}"/>
    <cellStyle name="20% - Énfasis4 31 2" xfId="2247" xr:uid="{00000000-0005-0000-0000-00004F010000}"/>
    <cellStyle name="20% - Énfasis4 32" xfId="167" xr:uid="{00000000-0005-0000-0000-000050010000}"/>
    <cellStyle name="20% - Énfasis4 32 2" xfId="2248" xr:uid="{00000000-0005-0000-0000-000051010000}"/>
    <cellStyle name="20% - Énfasis4 33" xfId="168" xr:uid="{00000000-0005-0000-0000-000052010000}"/>
    <cellStyle name="20% - Énfasis4 33 2" xfId="2249" xr:uid="{00000000-0005-0000-0000-000053010000}"/>
    <cellStyle name="20% - Énfasis4 34" xfId="169" xr:uid="{00000000-0005-0000-0000-000054010000}"/>
    <cellStyle name="20% - Énfasis4 34 2" xfId="2250" xr:uid="{00000000-0005-0000-0000-000055010000}"/>
    <cellStyle name="20% - Énfasis4 35" xfId="170" xr:uid="{00000000-0005-0000-0000-000056010000}"/>
    <cellStyle name="20% - Énfasis4 35 2" xfId="2251" xr:uid="{00000000-0005-0000-0000-000057010000}"/>
    <cellStyle name="20% - Énfasis4 36" xfId="171" xr:uid="{00000000-0005-0000-0000-000058010000}"/>
    <cellStyle name="20% - Énfasis4 36 2" xfId="2252" xr:uid="{00000000-0005-0000-0000-000059010000}"/>
    <cellStyle name="20% - Énfasis4 37" xfId="172" xr:uid="{00000000-0005-0000-0000-00005A010000}"/>
    <cellStyle name="20% - Énfasis4 37 2" xfId="2253" xr:uid="{00000000-0005-0000-0000-00005B010000}"/>
    <cellStyle name="20% - Énfasis4 38" xfId="173" xr:uid="{00000000-0005-0000-0000-00005C010000}"/>
    <cellStyle name="20% - Énfasis4 38 2" xfId="2254" xr:uid="{00000000-0005-0000-0000-00005D010000}"/>
    <cellStyle name="20% - Énfasis4 39" xfId="174" xr:uid="{00000000-0005-0000-0000-00005E010000}"/>
    <cellStyle name="20% - Énfasis4 39 2" xfId="2255" xr:uid="{00000000-0005-0000-0000-00005F010000}"/>
    <cellStyle name="20% - Énfasis4 4" xfId="175" xr:uid="{00000000-0005-0000-0000-000060010000}"/>
    <cellStyle name="20% - Énfasis4 4 2" xfId="2256" xr:uid="{00000000-0005-0000-0000-000061010000}"/>
    <cellStyle name="20% - Énfasis4 40" xfId="176" xr:uid="{00000000-0005-0000-0000-000062010000}"/>
    <cellStyle name="20% - Énfasis4 40 2" xfId="2257" xr:uid="{00000000-0005-0000-0000-000063010000}"/>
    <cellStyle name="20% - Énfasis4 41" xfId="177" xr:uid="{00000000-0005-0000-0000-000064010000}"/>
    <cellStyle name="20% - Énfasis4 41 2" xfId="2258" xr:uid="{00000000-0005-0000-0000-000065010000}"/>
    <cellStyle name="20% - Énfasis4 42" xfId="178" xr:uid="{00000000-0005-0000-0000-000066010000}"/>
    <cellStyle name="20% - Énfasis4 42 2" xfId="2259" xr:uid="{00000000-0005-0000-0000-000067010000}"/>
    <cellStyle name="20% - Énfasis4 43" xfId="179" xr:uid="{00000000-0005-0000-0000-000068010000}"/>
    <cellStyle name="20% - Énfasis4 43 2" xfId="2260" xr:uid="{00000000-0005-0000-0000-000069010000}"/>
    <cellStyle name="20% - Énfasis4 44" xfId="180" xr:uid="{00000000-0005-0000-0000-00006A010000}"/>
    <cellStyle name="20% - Énfasis4 44 2" xfId="2261" xr:uid="{00000000-0005-0000-0000-00006B010000}"/>
    <cellStyle name="20% - Énfasis4 45" xfId="181" xr:uid="{00000000-0005-0000-0000-00006C010000}"/>
    <cellStyle name="20% - Énfasis4 45 2" xfId="2262" xr:uid="{00000000-0005-0000-0000-00006D010000}"/>
    <cellStyle name="20% - Énfasis4 46" xfId="182" xr:uid="{00000000-0005-0000-0000-00006E010000}"/>
    <cellStyle name="20% - Énfasis4 46 2" xfId="2263" xr:uid="{00000000-0005-0000-0000-00006F010000}"/>
    <cellStyle name="20% - Énfasis4 47" xfId="183" xr:uid="{00000000-0005-0000-0000-000070010000}"/>
    <cellStyle name="20% - Énfasis4 47 2" xfId="2264" xr:uid="{00000000-0005-0000-0000-000071010000}"/>
    <cellStyle name="20% - Énfasis4 5" xfId="184" xr:uid="{00000000-0005-0000-0000-000072010000}"/>
    <cellStyle name="20% - Énfasis4 5 2" xfId="2265" xr:uid="{00000000-0005-0000-0000-000073010000}"/>
    <cellStyle name="20% - Énfasis4 6" xfId="185" xr:uid="{00000000-0005-0000-0000-000074010000}"/>
    <cellStyle name="20% - Énfasis4 6 2" xfId="2266" xr:uid="{00000000-0005-0000-0000-000075010000}"/>
    <cellStyle name="20% - Énfasis4 7" xfId="186" xr:uid="{00000000-0005-0000-0000-000076010000}"/>
    <cellStyle name="20% - Énfasis4 7 2" xfId="2267" xr:uid="{00000000-0005-0000-0000-000077010000}"/>
    <cellStyle name="20% - Énfasis4 8" xfId="187" xr:uid="{00000000-0005-0000-0000-000078010000}"/>
    <cellStyle name="20% - Énfasis4 8 2" xfId="2268" xr:uid="{00000000-0005-0000-0000-000079010000}"/>
    <cellStyle name="20% - Énfasis4 9" xfId="188" xr:uid="{00000000-0005-0000-0000-00007A010000}"/>
    <cellStyle name="20% - Énfasis4 9 2" xfId="2269" xr:uid="{00000000-0005-0000-0000-00007B010000}"/>
    <cellStyle name="20% - Énfasis5" xfId="2075" builtinId="46" customBuiltin="1"/>
    <cellStyle name="20% - Énfasis5 1" xfId="189" xr:uid="{00000000-0005-0000-0000-00007D010000}"/>
    <cellStyle name="20% - Énfasis5 1 2" xfId="2270" xr:uid="{00000000-0005-0000-0000-00007E010000}"/>
    <cellStyle name="20% - Énfasis5 10" xfId="190" xr:uid="{00000000-0005-0000-0000-00007F010000}"/>
    <cellStyle name="20% - Énfasis5 10 2" xfId="2271" xr:uid="{00000000-0005-0000-0000-000080010000}"/>
    <cellStyle name="20% - Énfasis5 11" xfId="191" xr:uid="{00000000-0005-0000-0000-000081010000}"/>
    <cellStyle name="20% - Énfasis5 11 2" xfId="2272" xr:uid="{00000000-0005-0000-0000-000082010000}"/>
    <cellStyle name="20% - Énfasis5 12" xfId="192" xr:uid="{00000000-0005-0000-0000-000083010000}"/>
    <cellStyle name="20% - Énfasis5 12 2" xfId="2273" xr:uid="{00000000-0005-0000-0000-000084010000}"/>
    <cellStyle name="20% - Énfasis5 13" xfId="193" xr:uid="{00000000-0005-0000-0000-000085010000}"/>
    <cellStyle name="20% - Énfasis5 13 2" xfId="2274" xr:uid="{00000000-0005-0000-0000-000086010000}"/>
    <cellStyle name="20% - Énfasis5 14" xfId="194" xr:uid="{00000000-0005-0000-0000-000087010000}"/>
    <cellStyle name="20% - Énfasis5 14 2" xfId="2275" xr:uid="{00000000-0005-0000-0000-000088010000}"/>
    <cellStyle name="20% - Énfasis5 15" xfId="195" xr:uid="{00000000-0005-0000-0000-000089010000}"/>
    <cellStyle name="20% - Énfasis5 15 2" xfId="2276" xr:uid="{00000000-0005-0000-0000-00008A010000}"/>
    <cellStyle name="20% - Énfasis5 16" xfId="196" xr:uid="{00000000-0005-0000-0000-00008B010000}"/>
    <cellStyle name="20% - Énfasis5 16 2" xfId="2277" xr:uid="{00000000-0005-0000-0000-00008C010000}"/>
    <cellStyle name="20% - Énfasis5 17" xfId="197" xr:uid="{00000000-0005-0000-0000-00008D010000}"/>
    <cellStyle name="20% - Énfasis5 17 2" xfId="2278" xr:uid="{00000000-0005-0000-0000-00008E010000}"/>
    <cellStyle name="20% - Énfasis5 18" xfId="198" xr:uid="{00000000-0005-0000-0000-00008F010000}"/>
    <cellStyle name="20% - Énfasis5 18 2" xfId="2279" xr:uid="{00000000-0005-0000-0000-000090010000}"/>
    <cellStyle name="20% - Énfasis5 19" xfId="199" xr:uid="{00000000-0005-0000-0000-000091010000}"/>
    <cellStyle name="20% - Énfasis5 19 2" xfId="2280" xr:uid="{00000000-0005-0000-0000-000092010000}"/>
    <cellStyle name="20% - Énfasis5 2" xfId="200" xr:uid="{00000000-0005-0000-0000-000093010000}"/>
    <cellStyle name="20% - Énfasis5 2 2" xfId="2281" xr:uid="{00000000-0005-0000-0000-000094010000}"/>
    <cellStyle name="20% - Énfasis5 20" xfId="201" xr:uid="{00000000-0005-0000-0000-000095010000}"/>
    <cellStyle name="20% - Énfasis5 20 2" xfId="2282" xr:uid="{00000000-0005-0000-0000-000096010000}"/>
    <cellStyle name="20% - Énfasis5 21" xfId="202" xr:uid="{00000000-0005-0000-0000-000097010000}"/>
    <cellStyle name="20% - Énfasis5 21 2" xfId="2283" xr:uid="{00000000-0005-0000-0000-000098010000}"/>
    <cellStyle name="20% - Énfasis5 22" xfId="203" xr:uid="{00000000-0005-0000-0000-000099010000}"/>
    <cellStyle name="20% - Énfasis5 22 2" xfId="2284" xr:uid="{00000000-0005-0000-0000-00009A010000}"/>
    <cellStyle name="20% - Énfasis5 23" xfId="204" xr:uid="{00000000-0005-0000-0000-00009B010000}"/>
    <cellStyle name="20% - Énfasis5 23 2" xfId="2285" xr:uid="{00000000-0005-0000-0000-00009C010000}"/>
    <cellStyle name="20% - Énfasis5 24" xfId="205" xr:uid="{00000000-0005-0000-0000-00009D010000}"/>
    <cellStyle name="20% - Énfasis5 24 2" xfId="2286" xr:uid="{00000000-0005-0000-0000-00009E010000}"/>
    <cellStyle name="20% - Énfasis5 25" xfId="206" xr:uid="{00000000-0005-0000-0000-00009F010000}"/>
    <cellStyle name="20% - Énfasis5 25 2" xfId="2287" xr:uid="{00000000-0005-0000-0000-0000A0010000}"/>
    <cellStyle name="20% - Énfasis5 26" xfId="207" xr:uid="{00000000-0005-0000-0000-0000A1010000}"/>
    <cellStyle name="20% - Énfasis5 26 2" xfId="2288" xr:uid="{00000000-0005-0000-0000-0000A2010000}"/>
    <cellStyle name="20% - Énfasis5 27" xfId="208" xr:uid="{00000000-0005-0000-0000-0000A3010000}"/>
    <cellStyle name="20% - Énfasis5 27 2" xfId="2289" xr:uid="{00000000-0005-0000-0000-0000A4010000}"/>
    <cellStyle name="20% - Énfasis5 28" xfId="209" xr:uid="{00000000-0005-0000-0000-0000A5010000}"/>
    <cellStyle name="20% - Énfasis5 28 2" xfId="2290" xr:uid="{00000000-0005-0000-0000-0000A6010000}"/>
    <cellStyle name="20% - Énfasis5 29" xfId="210" xr:uid="{00000000-0005-0000-0000-0000A7010000}"/>
    <cellStyle name="20% - Énfasis5 29 2" xfId="2291" xr:uid="{00000000-0005-0000-0000-0000A8010000}"/>
    <cellStyle name="20% - Énfasis5 3" xfId="211" xr:uid="{00000000-0005-0000-0000-0000A9010000}"/>
    <cellStyle name="20% - Énfasis5 3 2" xfId="2292" xr:uid="{00000000-0005-0000-0000-0000AA010000}"/>
    <cellStyle name="20% - Énfasis5 30" xfId="212" xr:uid="{00000000-0005-0000-0000-0000AB010000}"/>
    <cellStyle name="20% - Énfasis5 30 2" xfId="2293" xr:uid="{00000000-0005-0000-0000-0000AC010000}"/>
    <cellStyle name="20% - Énfasis5 31" xfId="213" xr:uid="{00000000-0005-0000-0000-0000AD010000}"/>
    <cellStyle name="20% - Énfasis5 31 2" xfId="2294" xr:uid="{00000000-0005-0000-0000-0000AE010000}"/>
    <cellStyle name="20% - Énfasis5 32" xfId="214" xr:uid="{00000000-0005-0000-0000-0000AF010000}"/>
    <cellStyle name="20% - Énfasis5 32 2" xfId="2295" xr:uid="{00000000-0005-0000-0000-0000B0010000}"/>
    <cellStyle name="20% - Énfasis5 33" xfId="215" xr:uid="{00000000-0005-0000-0000-0000B1010000}"/>
    <cellStyle name="20% - Énfasis5 33 2" xfId="2296" xr:uid="{00000000-0005-0000-0000-0000B2010000}"/>
    <cellStyle name="20% - Énfasis5 34" xfId="216" xr:uid="{00000000-0005-0000-0000-0000B3010000}"/>
    <cellStyle name="20% - Énfasis5 34 2" xfId="2297" xr:uid="{00000000-0005-0000-0000-0000B4010000}"/>
    <cellStyle name="20% - Énfasis5 35" xfId="217" xr:uid="{00000000-0005-0000-0000-0000B5010000}"/>
    <cellStyle name="20% - Énfasis5 35 2" xfId="2298" xr:uid="{00000000-0005-0000-0000-0000B6010000}"/>
    <cellStyle name="20% - Énfasis5 36" xfId="218" xr:uid="{00000000-0005-0000-0000-0000B7010000}"/>
    <cellStyle name="20% - Énfasis5 36 2" xfId="2299" xr:uid="{00000000-0005-0000-0000-0000B8010000}"/>
    <cellStyle name="20% - Énfasis5 37" xfId="219" xr:uid="{00000000-0005-0000-0000-0000B9010000}"/>
    <cellStyle name="20% - Énfasis5 37 2" xfId="2300" xr:uid="{00000000-0005-0000-0000-0000BA010000}"/>
    <cellStyle name="20% - Énfasis5 38" xfId="220" xr:uid="{00000000-0005-0000-0000-0000BB010000}"/>
    <cellStyle name="20% - Énfasis5 38 2" xfId="2301" xr:uid="{00000000-0005-0000-0000-0000BC010000}"/>
    <cellStyle name="20% - Énfasis5 39" xfId="221" xr:uid="{00000000-0005-0000-0000-0000BD010000}"/>
    <cellStyle name="20% - Énfasis5 39 2" xfId="2302" xr:uid="{00000000-0005-0000-0000-0000BE010000}"/>
    <cellStyle name="20% - Énfasis5 4" xfId="222" xr:uid="{00000000-0005-0000-0000-0000BF010000}"/>
    <cellStyle name="20% - Énfasis5 4 2" xfId="2303" xr:uid="{00000000-0005-0000-0000-0000C0010000}"/>
    <cellStyle name="20% - Énfasis5 40" xfId="223" xr:uid="{00000000-0005-0000-0000-0000C1010000}"/>
    <cellStyle name="20% - Énfasis5 40 2" xfId="2304" xr:uid="{00000000-0005-0000-0000-0000C2010000}"/>
    <cellStyle name="20% - Énfasis5 41" xfId="224" xr:uid="{00000000-0005-0000-0000-0000C3010000}"/>
    <cellStyle name="20% - Énfasis5 41 2" xfId="2305" xr:uid="{00000000-0005-0000-0000-0000C4010000}"/>
    <cellStyle name="20% - Énfasis5 42" xfId="225" xr:uid="{00000000-0005-0000-0000-0000C5010000}"/>
    <cellStyle name="20% - Énfasis5 42 2" xfId="2306" xr:uid="{00000000-0005-0000-0000-0000C6010000}"/>
    <cellStyle name="20% - Énfasis5 43" xfId="226" xr:uid="{00000000-0005-0000-0000-0000C7010000}"/>
    <cellStyle name="20% - Énfasis5 43 2" xfId="2307" xr:uid="{00000000-0005-0000-0000-0000C8010000}"/>
    <cellStyle name="20% - Énfasis5 44" xfId="227" xr:uid="{00000000-0005-0000-0000-0000C9010000}"/>
    <cellStyle name="20% - Énfasis5 44 2" xfId="2308" xr:uid="{00000000-0005-0000-0000-0000CA010000}"/>
    <cellStyle name="20% - Énfasis5 45" xfId="228" xr:uid="{00000000-0005-0000-0000-0000CB010000}"/>
    <cellStyle name="20% - Énfasis5 45 2" xfId="2309" xr:uid="{00000000-0005-0000-0000-0000CC010000}"/>
    <cellStyle name="20% - Énfasis5 46" xfId="229" xr:uid="{00000000-0005-0000-0000-0000CD010000}"/>
    <cellStyle name="20% - Énfasis5 46 2" xfId="2310" xr:uid="{00000000-0005-0000-0000-0000CE010000}"/>
    <cellStyle name="20% - Énfasis5 47" xfId="230" xr:uid="{00000000-0005-0000-0000-0000CF010000}"/>
    <cellStyle name="20% - Énfasis5 47 2" xfId="2311" xr:uid="{00000000-0005-0000-0000-0000D0010000}"/>
    <cellStyle name="20% - Énfasis5 5" xfId="231" xr:uid="{00000000-0005-0000-0000-0000D1010000}"/>
    <cellStyle name="20% - Énfasis5 5 2" xfId="2312" xr:uid="{00000000-0005-0000-0000-0000D2010000}"/>
    <cellStyle name="20% - Énfasis5 6" xfId="232" xr:uid="{00000000-0005-0000-0000-0000D3010000}"/>
    <cellStyle name="20% - Énfasis5 6 2" xfId="2313" xr:uid="{00000000-0005-0000-0000-0000D4010000}"/>
    <cellStyle name="20% - Énfasis5 7" xfId="233" xr:uid="{00000000-0005-0000-0000-0000D5010000}"/>
    <cellStyle name="20% - Énfasis5 7 2" xfId="2314" xr:uid="{00000000-0005-0000-0000-0000D6010000}"/>
    <cellStyle name="20% - Énfasis5 8" xfId="234" xr:uid="{00000000-0005-0000-0000-0000D7010000}"/>
    <cellStyle name="20% - Énfasis5 8 2" xfId="2315" xr:uid="{00000000-0005-0000-0000-0000D8010000}"/>
    <cellStyle name="20% - Énfasis5 9" xfId="235" xr:uid="{00000000-0005-0000-0000-0000D9010000}"/>
    <cellStyle name="20% - Énfasis5 9 2" xfId="2316" xr:uid="{00000000-0005-0000-0000-0000DA010000}"/>
    <cellStyle name="20% - Énfasis6" xfId="2079" builtinId="50" customBuiltin="1"/>
    <cellStyle name="20% - Énfasis6 1" xfId="236" xr:uid="{00000000-0005-0000-0000-0000DC010000}"/>
    <cellStyle name="20% - Énfasis6 1 2" xfId="2317" xr:uid="{00000000-0005-0000-0000-0000DD010000}"/>
    <cellStyle name="20% - Énfasis6 10" xfId="237" xr:uid="{00000000-0005-0000-0000-0000DE010000}"/>
    <cellStyle name="20% - Énfasis6 10 2" xfId="2318" xr:uid="{00000000-0005-0000-0000-0000DF010000}"/>
    <cellStyle name="20% - Énfasis6 11" xfId="238" xr:uid="{00000000-0005-0000-0000-0000E0010000}"/>
    <cellStyle name="20% - Énfasis6 11 2" xfId="2319" xr:uid="{00000000-0005-0000-0000-0000E1010000}"/>
    <cellStyle name="20% - Énfasis6 12" xfId="239" xr:uid="{00000000-0005-0000-0000-0000E2010000}"/>
    <cellStyle name="20% - Énfasis6 12 2" xfId="2320" xr:uid="{00000000-0005-0000-0000-0000E3010000}"/>
    <cellStyle name="20% - Énfasis6 13" xfId="240" xr:uid="{00000000-0005-0000-0000-0000E4010000}"/>
    <cellStyle name="20% - Énfasis6 13 2" xfId="2321" xr:uid="{00000000-0005-0000-0000-0000E5010000}"/>
    <cellStyle name="20% - Énfasis6 14" xfId="241" xr:uid="{00000000-0005-0000-0000-0000E6010000}"/>
    <cellStyle name="20% - Énfasis6 14 2" xfId="2322" xr:uid="{00000000-0005-0000-0000-0000E7010000}"/>
    <cellStyle name="20% - Énfasis6 15" xfId="242" xr:uid="{00000000-0005-0000-0000-0000E8010000}"/>
    <cellStyle name="20% - Énfasis6 15 2" xfId="2323" xr:uid="{00000000-0005-0000-0000-0000E9010000}"/>
    <cellStyle name="20% - Énfasis6 16" xfId="243" xr:uid="{00000000-0005-0000-0000-0000EA010000}"/>
    <cellStyle name="20% - Énfasis6 16 2" xfId="2324" xr:uid="{00000000-0005-0000-0000-0000EB010000}"/>
    <cellStyle name="20% - Énfasis6 17" xfId="244" xr:uid="{00000000-0005-0000-0000-0000EC010000}"/>
    <cellStyle name="20% - Énfasis6 17 2" xfId="2325" xr:uid="{00000000-0005-0000-0000-0000ED010000}"/>
    <cellStyle name="20% - Énfasis6 18" xfId="245" xr:uid="{00000000-0005-0000-0000-0000EE010000}"/>
    <cellStyle name="20% - Énfasis6 18 2" xfId="2326" xr:uid="{00000000-0005-0000-0000-0000EF010000}"/>
    <cellStyle name="20% - Énfasis6 19" xfId="246" xr:uid="{00000000-0005-0000-0000-0000F0010000}"/>
    <cellStyle name="20% - Énfasis6 19 2" xfId="2327" xr:uid="{00000000-0005-0000-0000-0000F1010000}"/>
    <cellStyle name="20% - Énfasis6 2" xfId="247" xr:uid="{00000000-0005-0000-0000-0000F2010000}"/>
    <cellStyle name="20% - Énfasis6 2 2" xfId="2328" xr:uid="{00000000-0005-0000-0000-0000F3010000}"/>
    <cellStyle name="20% - Énfasis6 20" xfId="248" xr:uid="{00000000-0005-0000-0000-0000F4010000}"/>
    <cellStyle name="20% - Énfasis6 20 2" xfId="2329" xr:uid="{00000000-0005-0000-0000-0000F5010000}"/>
    <cellStyle name="20% - Énfasis6 21" xfId="249" xr:uid="{00000000-0005-0000-0000-0000F6010000}"/>
    <cellStyle name="20% - Énfasis6 21 2" xfId="2330" xr:uid="{00000000-0005-0000-0000-0000F7010000}"/>
    <cellStyle name="20% - Énfasis6 22" xfId="250" xr:uid="{00000000-0005-0000-0000-0000F8010000}"/>
    <cellStyle name="20% - Énfasis6 22 2" xfId="2331" xr:uid="{00000000-0005-0000-0000-0000F9010000}"/>
    <cellStyle name="20% - Énfasis6 23" xfId="251" xr:uid="{00000000-0005-0000-0000-0000FA010000}"/>
    <cellStyle name="20% - Énfasis6 23 2" xfId="2332" xr:uid="{00000000-0005-0000-0000-0000FB010000}"/>
    <cellStyle name="20% - Énfasis6 24" xfId="252" xr:uid="{00000000-0005-0000-0000-0000FC010000}"/>
    <cellStyle name="20% - Énfasis6 24 2" xfId="2333" xr:uid="{00000000-0005-0000-0000-0000FD010000}"/>
    <cellStyle name="20% - Énfasis6 25" xfId="253" xr:uid="{00000000-0005-0000-0000-0000FE010000}"/>
    <cellStyle name="20% - Énfasis6 25 2" xfId="2334" xr:uid="{00000000-0005-0000-0000-0000FF010000}"/>
    <cellStyle name="20% - Énfasis6 26" xfId="254" xr:uid="{00000000-0005-0000-0000-000000020000}"/>
    <cellStyle name="20% - Énfasis6 26 2" xfId="2335" xr:uid="{00000000-0005-0000-0000-000001020000}"/>
    <cellStyle name="20% - Énfasis6 27" xfId="255" xr:uid="{00000000-0005-0000-0000-000002020000}"/>
    <cellStyle name="20% - Énfasis6 27 2" xfId="2336" xr:uid="{00000000-0005-0000-0000-000003020000}"/>
    <cellStyle name="20% - Énfasis6 28" xfId="256" xr:uid="{00000000-0005-0000-0000-000004020000}"/>
    <cellStyle name="20% - Énfasis6 28 2" xfId="2337" xr:uid="{00000000-0005-0000-0000-000005020000}"/>
    <cellStyle name="20% - Énfasis6 29" xfId="257" xr:uid="{00000000-0005-0000-0000-000006020000}"/>
    <cellStyle name="20% - Énfasis6 29 2" xfId="2338" xr:uid="{00000000-0005-0000-0000-000007020000}"/>
    <cellStyle name="20% - Énfasis6 3" xfId="258" xr:uid="{00000000-0005-0000-0000-000008020000}"/>
    <cellStyle name="20% - Énfasis6 3 2" xfId="2339" xr:uid="{00000000-0005-0000-0000-000009020000}"/>
    <cellStyle name="20% - Énfasis6 30" xfId="259" xr:uid="{00000000-0005-0000-0000-00000A020000}"/>
    <cellStyle name="20% - Énfasis6 30 2" xfId="2340" xr:uid="{00000000-0005-0000-0000-00000B020000}"/>
    <cellStyle name="20% - Énfasis6 31" xfId="260" xr:uid="{00000000-0005-0000-0000-00000C020000}"/>
    <cellStyle name="20% - Énfasis6 31 2" xfId="2341" xr:uid="{00000000-0005-0000-0000-00000D020000}"/>
    <cellStyle name="20% - Énfasis6 32" xfId="261" xr:uid="{00000000-0005-0000-0000-00000E020000}"/>
    <cellStyle name="20% - Énfasis6 32 2" xfId="2342" xr:uid="{00000000-0005-0000-0000-00000F020000}"/>
    <cellStyle name="20% - Énfasis6 33" xfId="262" xr:uid="{00000000-0005-0000-0000-000010020000}"/>
    <cellStyle name="20% - Énfasis6 33 2" xfId="2343" xr:uid="{00000000-0005-0000-0000-000011020000}"/>
    <cellStyle name="20% - Énfasis6 34" xfId="263" xr:uid="{00000000-0005-0000-0000-000012020000}"/>
    <cellStyle name="20% - Énfasis6 34 2" xfId="2344" xr:uid="{00000000-0005-0000-0000-000013020000}"/>
    <cellStyle name="20% - Énfasis6 35" xfId="264" xr:uid="{00000000-0005-0000-0000-000014020000}"/>
    <cellStyle name="20% - Énfasis6 35 2" xfId="2345" xr:uid="{00000000-0005-0000-0000-000015020000}"/>
    <cellStyle name="20% - Énfasis6 36" xfId="265" xr:uid="{00000000-0005-0000-0000-000016020000}"/>
    <cellStyle name="20% - Énfasis6 36 2" xfId="2346" xr:uid="{00000000-0005-0000-0000-000017020000}"/>
    <cellStyle name="20% - Énfasis6 37" xfId="266" xr:uid="{00000000-0005-0000-0000-000018020000}"/>
    <cellStyle name="20% - Énfasis6 37 2" xfId="2347" xr:uid="{00000000-0005-0000-0000-000019020000}"/>
    <cellStyle name="20% - Énfasis6 38" xfId="267" xr:uid="{00000000-0005-0000-0000-00001A020000}"/>
    <cellStyle name="20% - Énfasis6 38 2" xfId="2348" xr:uid="{00000000-0005-0000-0000-00001B020000}"/>
    <cellStyle name="20% - Énfasis6 39" xfId="268" xr:uid="{00000000-0005-0000-0000-00001C020000}"/>
    <cellStyle name="20% - Énfasis6 39 2" xfId="2349" xr:uid="{00000000-0005-0000-0000-00001D020000}"/>
    <cellStyle name="20% - Énfasis6 4" xfId="269" xr:uid="{00000000-0005-0000-0000-00001E020000}"/>
    <cellStyle name="20% - Énfasis6 4 2" xfId="2350" xr:uid="{00000000-0005-0000-0000-00001F020000}"/>
    <cellStyle name="20% - Énfasis6 40" xfId="270" xr:uid="{00000000-0005-0000-0000-000020020000}"/>
    <cellStyle name="20% - Énfasis6 40 2" xfId="2351" xr:uid="{00000000-0005-0000-0000-000021020000}"/>
    <cellStyle name="20% - Énfasis6 41" xfId="271" xr:uid="{00000000-0005-0000-0000-000022020000}"/>
    <cellStyle name="20% - Énfasis6 41 2" xfId="2352" xr:uid="{00000000-0005-0000-0000-000023020000}"/>
    <cellStyle name="20% - Énfasis6 42" xfId="272" xr:uid="{00000000-0005-0000-0000-000024020000}"/>
    <cellStyle name="20% - Énfasis6 42 2" xfId="2353" xr:uid="{00000000-0005-0000-0000-000025020000}"/>
    <cellStyle name="20% - Énfasis6 43" xfId="273" xr:uid="{00000000-0005-0000-0000-000026020000}"/>
    <cellStyle name="20% - Énfasis6 43 2" xfId="2354" xr:uid="{00000000-0005-0000-0000-000027020000}"/>
    <cellStyle name="20% - Énfasis6 44" xfId="274" xr:uid="{00000000-0005-0000-0000-000028020000}"/>
    <cellStyle name="20% - Énfasis6 44 2" xfId="2355" xr:uid="{00000000-0005-0000-0000-000029020000}"/>
    <cellStyle name="20% - Énfasis6 45" xfId="275" xr:uid="{00000000-0005-0000-0000-00002A020000}"/>
    <cellStyle name="20% - Énfasis6 45 2" xfId="2356" xr:uid="{00000000-0005-0000-0000-00002B020000}"/>
    <cellStyle name="20% - Énfasis6 46" xfId="276" xr:uid="{00000000-0005-0000-0000-00002C020000}"/>
    <cellStyle name="20% - Énfasis6 46 2" xfId="2357" xr:uid="{00000000-0005-0000-0000-00002D020000}"/>
    <cellStyle name="20% - Énfasis6 47" xfId="277" xr:uid="{00000000-0005-0000-0000-00002E020000}"/>
    <cellStyle name="20% - Énfasis6 47 2" xfId="2358" xr:uid="{00000000-0005-0000-0000-00002F020000}"/>
    <cellStyle name="20% - Énfasis6 5" xfId="278" xr:uid="{00000000-0005-0000-0000-000030020000}"/>
    <cellStyle name="20% - Énfasis6 5 2" xfId="2359" xr:uid="{00000000-0005-0000-0000-000031020000}"/>
    <cellStyle name="20% - Énfasis6 6" xfId="279" xr:uid="{00000000-0005-0000-0000-000032020000}"/>
    <cellStyle name="20% - Énfasis6 6 2" xfId="2360" xr:uid="{00000000-0005-0000-0000-000033020000}"/>
    <cellStyle name="20% - Énfasis6 7" xfId="280" xr:uid="{00000000-0005-0000-0000-000034020000}"/>
    <cellStyle name="20% - Énfasis6 7 2" xfId="2361" xr:uid="{00000000-0005-0000-0000-000035020000}"/>
    <cellStyle name="20% - Énfasis6 8" xfId="281" xr:uid="{00000000-0005-0000-0000-000036020000}"/>
    <cellStyle name="20% - Énfasis6 8 2" xfId="2362" xr:uid="{00000000-0005-0000-0000-000037020000}"/>
    <cellStyle name="20% - Énfasis6 9" xfId="282" xr:uid="{00000000-0005-0000-0000-000038020000}"/>
    <cellStyle name="20% - Énfasis6 9 2" xfId="2363" xr:uid="{00000000-0005-0000-0000-000039020000}"/>
    <cellStyle name="40% - Énfasis1" xfId="2060" builtinId="31" customBuiltin="1"/>
    <cellStyle name="40% - Énfasis1 1" xfId="283" xr:uid="{00000000-0005-0000-0000-00003B020000}"/>
    <cellStyle name="40% - Énfasis1 1 2" xfId="2364" xr:uid="{00000000-0005-0000-0000-00003C020000}"/>
    <cellStyle name="40% - Énfasis1 10" xfId="284" xr:uid="{00000000-0005-0000-0000-00003D020000}"/>
    <cellStyle name="40% - Énfasis1 10 2" xfId="2365" xr:uid="{00000000-0005-0000-0000-00003E020000}"/>
    <cellStyle name="40% - Énfasis1 11" xfId="285" xr:uid="{00000000-0005-0000-0000-00003F020000}"/>
    <cellStyle name="40% - Énfasis1 11 2" xfId="2366" xr:uid="{00000000-0005-0000-0000-000040020000}"/>
    <cellStyle name="40% - Énfasis1 12" xfId="286" xr:uid="{00000000-0005-0000-0000-000041020000}"/>
    <cellStyle name="40% - Énfasis1 12 2" xfId="2367" xr:uid="{00000000-0005-0000-0000-000042020000}"/>
    <cellStyle name="40% - Énfasis1 13" xfId="287" xr:uid="{00000000-0005-0000-0000-000043020000}"/>
    <cellStyle name="40% - Énfasis1 13 2" xfId="2368" xr:uid="{00000000-0005-0000-0000-000044020000}"/>
    <cellStyle name="40% - Énfasis1 14" xfId="288" xr:uid="{00000000-0005-0000-0000-000045020000}"/>
    <cellStyle name="40% - Énfasis1 14 2" xfId="2369" xr:uid="{00000000-0005-0000-0000-000046020000}"/>
    <cellStyle name="40% - Énfasis1 15" xfId="289" xr:uid="{00000000-0005-0000-0000-000047020000}"/>
    <cellStyle name="40% - Énfasis1 15 2" xfId="2370" xr:uid="{00000000-0005-0000-0000-000048020000}"/>
    <cellStyle name="40% - Énfasis1 16" xfId="290" xr:uid="{00000000-0005-0000-0000-000049020000}"/>
    <cellStyle name="40% - Énfasis1 16 2" xfId="2371" xr:uid="{00000000-0005-0000-0000-00004A020000}"/>
    <cellStyle name="40% - Énfasis1 17" xfId="291" xr:uid="{00000000-0005-0000-0000-00004B020000}"/>
    <cellStyle name="40% - Énfasis1 17 2" xfId="2372" xr:uid="{00000000-0005-0000-0000-00004C020000}"/>
    <cellStyle name="40% - Énfasis1 18" xfId="292" xr:uid="{00000000-0005-0000-0000-00004D020000}"/>
    <cellStyle name="40% - Énfasis1 18 2" xfId="2373" xr:uid="{00000000-0005-0000-0000-00004E020000}"/>
    <cellStyle name="40% - Énfasis1 19" xfId="293" xr:uid="{00000000-0005-0000-0000-00004F020000}"/>
    <cellStyle name="40% - Énfasis1 19 2" xfId="2374" xr:uid="{00000000-0005-0000-0000-000050020000}"/>
    <cellStyle name="40% - Énfasis1 2" xfId="294" xr:uid="{00000000-0005-0000-0000-000051020000}"/>
    <cellStyle name="40% - Énfasis1 2 2" xfId="2375" xr:uid="{00000000-0005-0000-0000-000052020000}"/>
    <cellStyle name="40% - Énfasis1 20" xfId="295" xr:uid="{00000000-0005-0000-0000-000053020000}"/>
    <cellStyle name="40% - Énfasis1 20 2" xfId="2376" xr:uid="{00000000-0005-0000-0000-000054020000}"/>
    <cellStyle name="40% - Énfasis1 21" xfId="296" xr:uid="{00000000-0005-0000-0000-000055020000}"/>
    <cellStyle name="40% - Énfasis1 21 2" xfId="2377" xr:uid="{00000000-0005-0000-0000-000056020000}"/>
    <cellStyle name="40% - Énfasis1 22" xfId="297" xr:uid="{00000000-0005-0000-0000-000057020000}"/>
    <cellStyle name="40% - Énfasis1 22 2" xfId="2378" xr:uid="{00000000-0005-0000-0000-000058020000}"/>
    <cellStyle name="40% - Énfasis1 23" xfId="298" xr:uid="{00000000-0005-0000-0000-000059020000}"/>
    <cellStyle name="40% - Énfasis1 23 2" xfId="2379" xr:uid="{00000000-0005-0000-0000-00005A020000}"/>
    <cellStyle name="40% - Énfasis1 24" xfId="299" xr:uid="{00000000-0005-0000-0000-00005B020000}"/>
    <cellStyle name="40% - Énfasis1 24 2" xfId="2380" xr:uid="{00000000-0005-0000-0000-00005C020000}"/>
    <cellStyle name="40% - Énfasis1 25" xfId="300" xr:uid="{00000000-0005-0000-0000-00005D020000}"/>
    <cellStyle name="40% - Énfasis1 25 2" xfId="2381" xr:uid="{00000000-0005-0000-0000-00005E020000}"/>
    <cellStyle name="40% - Énfasis1 26" xfId="301" xr:uid="{00000000-0005-0000-0000-00005F020000}"/>
    <cellStyle name="40% - Énfasis1 26 2" xfId="2382" xr:uid="{00000000-0005-0000-0000-000060020000}"/>
    <cellStyle name="40% - Énfasis1 27" xfId="302" xr:uid="{00000000-0005-0000-0000-000061020000}"/>
    <cellStyle name="40% - Énfasis1 27 2" xfId="2383" xr:uid="{00000000-0005-0000-0000-000062020000}"/>
    <cellStyle name="40% - Énfasis1 28" xfId="303" xr:uid="{00000000-0005-0000-0000-000063020000}"/>
    <cellStyle name="40% - Énfasis1 28 2" xfId="2384" xr:uid="{00000000-0005-0000-0000-000064020000}"/>
    <cellStyle name="40% - Énfasis1 29" xfId="304" xr:uid="{00000000-0005-0000-0000-000065020000}"/>
    <cellStyle name="40% - Énfasis1 29 2" xfId="2385" xr:uid="{00000000-0005-0000-0000-000066020000}"/>
    <cellStyle name="40% - Énfasis1 3" xfId="305" xr:uid="{00000000-0005-0000-0000-000067020000}"/>
    <cellStyle name="40% - Énfasis1 3 2" xfId="2386" xr:uid="{00000000-0005-0000-0000-000068020000}"/>
    <cellStyle name="40% - Énfasis1 30" xfId="306" xr:uid="{00000000-0005-0000-0000-000069020000}"/>
    <cellStyle name="40% - Énfasis1 30 2" xfId="2387" xr:uid="{00000000-0005-0000-0000-00006A020000}"/>
    <cellStyle name="40% - Énfasis1 31" xfId="307" xr:uid="{00000000-0005-0000-0000-00006B020000}"/>
    <cellStyle name="40% - Énfasis1 31 2" xfId="2388" xr:uid="{00000000-0005-0000-0000-00006C020000}"/>
    <cellStyle name="40% - Énfasis1 32" xfId="308" xr:uid="{00000000-0005-0000-0000-00006D020000}"/>
    <cellStyle name="40% - Énfasis1 32 2" xfId="2389" xr:uid="{00000000-0005-0000-0000-00006E020000}"/>
    <cellStyle name="40% - Énfasis1 33" xfId="309" xr:uid="{00000000-0005-0000-0000-00006F020000}"/>
    <cellStyle name="40% - Énfasis1 33 2" xfId="2390" xr:uid="{00000000-0005-0000-0000-000070020000}"/>
    <cellStyle name="40% - Énfasis1 34" xfId="310" xr:uid="{00000000-0005-0000-0000-000071020000}"/>
    <cellStyle name="40% - Énfasis1 34 2" xfId="2391" xr:uid="{00000000-0005-0000-0000-000072020000}"/>
    <cellStyle name="40% - Énfasis1 35" xfId="311" xr:uid="{00000000-0005-0000-0000-000073020000}"/>
    <cellStyle name="40% - Énfasis1 35 2" xfId="2392" xr:uid="{00000000-0005-0000-0000-000074020000}"/>
    <cellStyle name="40% - Énfasis1 36" xfId="312" xr:uid="{00000000-0005-0000-0000-000075020000}"/>
    <cellStyle name="40% - Énfasis1 36 2" xfId="2393" xr:uid="{00000000-0005-0000-0000-000076020000}"/>
    <cellStyle name="40% - Énfasis1 37" xfId="313" xr:uid="{00000000-0005-0000-0000-000077020000}"/>
    <cellStyle name="40% - Énfasis1 37 2" xfId="2394" xr:uid="{00000000-0005-0000-0000-000078020000}"/>
    <cellStyle name="40% - Énfasis1 38" xfId="314" xr:uid="{00000000-0005-0000-0000-000079020000}"/>
    <cellStyle name="40% - Énfasis1 38 2" xfId="2395" xr:uid="{00000000-0005-0000-0000-00007A020000}"/>
    <cellStyle name="40% - Énfasis1 39" xfId="315" xr:uid="{00000000-0005-0000-0000-00007B020000}"/>
    <cellStyle name="40% - Énfasis1 39 2" xfId="2396" xr:uid="{00000000-0005-0000-0000-00007C020000}"/>
    <cellStyle name="40% - Énfasis1 4" xfId="316" xr:uid="{00000000-0005-0000-0000-00007D020000}"/>
    <cellStyle name="40% - Énfasis1 4 2" xfId="2397" xr:uid="{00000000-0005-0000-0000-00007E020000}"/>
    <cellStyle name="40% - Énfasis1 40" xfId="317" xr:uid="{00000000-0005-0000-0000-00007F020000}"/>
    <cellStyle name="40% - Énfasis1 40 2" xfId="2398" xr:uid="{00000000-0005-0000-0000-000080020000}"/>
    <cellStyle name="40% - Énfasis1 41" xfId="318" xr:uid="{00000000-0005-0000-0000-000081020000}"/>
    <cellStyle name="40% - Énfasis1 41 2" xfId="2399" xr:uid="{00000000-0005-0000-0000-000082020000}"/>
    <cellStyle name="40% - Énfasis1 42" xfId="319" xr:uid="{00000000-0005-0000-0000-000083020000}"/>
    <cellStyle name="40% - Énfasis1 42 2" xfId="2400" xr:uid="{00000000-0005-0000-0000-000084020000}"/>
    <cellStyle name="40% - Énfasis1 43" xfId="320" xr:uid="{00000000-0005-0000-0000-000085020000}"/>
    <cellStyle name="40% - Énfasis1 43 2" xfId="2401" xr:uid="{00000000-0005-0000-0000-000086020000}"/>
    <cellStyle name="40% - Énfasis1 44" xfId="321" xr:uid="{00000000-0005-0000-0000-000087020000}"/>
    <cellStyle name="40% - Énfasis1 44 2" xfId="2402" xr:uid="{00000000-0005-0000-0000-000088020000}"/>
    <cellStyle name="40% - Énfasis1 45" xfId="322" xr:uid="{00000000-0005-0000-0000-000089020000}"/>
    <cellStyle name="40% - Énfasis1 45 2" xfId="2403" xr:uid="{00000000-0005-0000-0000-00008A020000}"/>
    <cellStyle name="40% - Énfasis1 46" xfId="323" xr:uid="{00000000-0005-0000-0000-00008B020000}"/>
    <cellStyle name="40% - Énfasis1 46 2" xfId="2404" xr:uid="{00000000-0005-0000-0000-00008C020000}"/>
    <cellStyle name="40% - Énfasis1 47" xfId="324" xr:uid="{00000000-0005-0000-0000-00008D020000}"/>
    <cellStyle name="40% - Énfasis1 47 2" xfId="2405" xr:uid="{00000000-0005-0000-0000-00008E020000}"/>
    <cellStyle name="40% - Énfasis1 5" xfId="325" xr:uid="{00000000-0005-0000-0000-00008F020000}"/>
    <cellStyle name="40% - Énfasis1 5 2" xfId="2406" xr:uid="{00000000-0005-0000-0000-000090020000}"/>
    <cellStyle name="40% - Énfasis1 6" xfId="326" xr:uid="{00000000-0005-0000-0000-000091020000}"/>
    <cellStyle name="40% - Énfasis1 6 2" xfId="2407" xr:uid="{00000000-0005-0000-0000-000092020000}"/>
    <cellStyle name="40% - Énfasis1 7" xfId="327" xr:uid="{00000000-0005-0000-0000-000093020000}"/>
    <cellStyle name="40% - Énfasis1 7 2" xfId="2408" xr:uid="{00000000-0005-0000-0000-000094020000}"/>
    <cellStyle name="40% - Énfasis1 8" xfId="328" xr:uid="{00000000-0005-0000-0000-000095020000}"/>
    <cellStyle name="40% - Énfasis1 8 2" xfId="2409" xr:uid="{00000000-0005-0000-0000-000096020000}"/>
    <cellStyle name="40% - Énfasis1 9" xfId="329" xr:uid="{00000000-0005-0000-0000-000097020000}"/>
    <cellStyle name="40% - Énfasis1 9 2" xfId="2410" xr:uid="{00000000-0005-0000-0000-000098020000}"/>
    <cellStyle name="40% - Énfasis2" xfId="2064" builtinId="35" customBuiltin="1"/>
    <cellStyle name="40% - Énfasis2 1" xfId="330" xr:uid="{00000000-0005-0000-0000-00009A020000}"/>
    <cellStyle name="40% - Énfasis2 1 2" xfId="2411" xr:uid="{00000000-0005-0000-0000-00009B020000}"/>
    <cellStyle name="40% - Énfasis2 10" xfId="331" xr:uid="{00000000-0005-0000-0000-00009C020000}"/>
    <cellStyle name="40% - Énfasis2 10 2" xfId="2412" xr:uid="{00000000-0005-0000-0000-00009D020000}"/>
    <cellStyle name="40% - Énfasis2 11" xfId="332" xr:uid="{00000000-0005-0000-0000-00009E020000}"/>
    <cellStyle name="40% - Énfasis2 11 2" xfId="2413" xr:uid="{00000000-0005-0000-0000-00009F020000}"/>
    <cellStyle name="40% - Énfasis2 12" xfId="333" xr:uid="{00000000-0005-0000-0000-0000A0020000}"/>
    <cellStyle name="40% - Énfasis2 12 2" xfId="2414" xr:uid="{00000000-0005-0000-0000-0000A1020000}"/>
    <cellStyle name="40% - Énfasis2 13" xfId="334" xr:uid="{00000000-0005-0000-0000-0000A2020000}"/>
    <cellStyle name="40% - Énfasis2 13 2" xfId="2415" xr:uid="{00000000-0005-0000-0000-0000A3020000}"/>
    <cellStyle name="40% - Énfasis2 14" xfId="335" xr:uid="{00000000-0005-0000-0000-0000A4020000}"/>
    <cellStyle name="40% - Énfasis2 14 2" xfId="2416" xr:uid="{00000000-0005-0000-0000-0000A5020000}"/>
    <cellStyle name="40% - Énfasis2 15" xfId="336" xr:uid="{00000000-0005-0000-0000-0000A6020000}"/>
    <cellStyle name="40% - Énfasis2 15 2" xfId="2417" xr:uid="{00000000-0005-0000-0000-0000A7020000}"/>
    <cellStyle name="40% - Énfasis2 16" xfId="337" xr:uid="{00000000-0005-0000-0000-0000A8020000}"/>
    <cellStyle name="40% - Énfasis2 16 2" xfId="2418" xr:uid="{00000000-0005-0000-0000-0000A9020000}"/>
    <cellStyle name="40% - Énfasis2 17" xfId="338" xr:uid="{00000000-0005-0000-0000-0000AA020000}"/>
    <cellStyle name="40% - Énfasis2 17 2" xfId="2419" xr:uid="{00000000-0005-0000-0000-0000AB020000}"/>
    <cellStyle name="40% - Énfasis2 18" xfId="339" xr:uid="{00000000-0005-0000-0000-0000AC020000}"/>
    <cellStyle name="40% - Énfasis2 18 2" xfId="2420" xr:uid="{00000000-0005-0000-0000-0000AD020000}"/>
    <cellStyle name="40% - Énfasis2 19" xfId="340" xr:uid="{00000000-0005-0000-0000-0000AE020000}"/>
    <cellStyle name="40% - Énfasis2 19 2" xfId="2421" xr:uid="{00000000-0005-0000-0000-0000AF020000}"/>
    <cellStyle name="40% - Énfasis2 2" xfId="341" xr:uid="{00000000-0005-0000-0000-0000B0020000}"/>
    <cellStyle name="40% - Énfasis2 2 2" xfId="2422" xr:uid="{00000000-0005-0000-0000-0000B1020000}"/>
    <cellStyle name="40% - Énfasis2 20" xfId="342" xr:uid="{00000000-0005-0000-0000-0000B2020000}"/>
    <cellStyle name="40% - Énfasis2 20 2" xfId="2423" xr:uid="{00000000-0005-0000-0000-0000B3020000}"/>
    <cellStyle name="40% - Énfasis2 21" xfId="343" xr:uid="{00000000-0005-0000-0000-0000B4020000}"/>
    <cellStyle name="40% - Énfasis2 21 2" xfId="2424" xr:uid="{00000000-0005-0000-0000-0000B5020000}"/>
    <cellStyle name="40% - Énfasis2 22" xfId="344" xr:uid="{00000000-0005-0000-0000-0000B6020000}"/>
    <cellStyle name="40% - Énfasis2 22 2" xfId="2425" xr:uid="{00000000-0005-0000-0000-0000B7020000}"/>
    <cellStyle name="40% - Énfasis2 23" xfId="345" xr:uid="{00000000-0005-0000-0000-0000B8020000}"/>
    <cellStyle name="40% - Énfasis2 23 2" xfId="2426" xr:uid="{00000000-0005-0000-0000-0000B9020000}"/>
    <cellStyle name="40% - Énfasis2 24" xfId="346" xr:uid="{00000000-0005-0000-0000-0000BA020000}"/>
    <cellStyle name="40% - Énfasis2 24 2" xfId="2427" xr:uid="{00000000-0005-0000-0000-0000BB020000}"/>
    <cellStyle name="40% - Énfasis2 25" xfId="347" xr:uid="{00000000-0005-0000-0000-0000BC020000}"/>
    <cellStyle name="40% - Énfasis2 25 2" xfId="2428" xr:uid="{00000000-0005-0000-0000-0000BD020000}"/>
    <cellStyle name="40% - Énfasis2 26" xfId="348" xr:uid="{00000000-0005-0000-0000-0000BE020000}"/>
    <cellStyle name="40% - Énfasis2 26 2" xfId="2429" xr:uid="{00000000-0005-0000-0000-0000BF020000}"/>
    <cellStyle name="40% - Énfasis2 27" xfId="349" xr:uid="{00000000-0005-0000-0000-0000C0020000}"/>
    <cellStyle name="40% - Énfasis2 27 2" xfId="2430" xr:uid="{00000000-0005-0000-0000-0000C1020000}"/>
    <cellStyle name="40% - Énfasis2 28" xfId="350" xr:uid="{00000000-0005-0000-0000-0000C2020000}"/>
    <cellStyle name="40% - Énfasis2 28 2" xfId="2431" xr:uid="{00000000-0005-0000-0000-0000C3020000}"/>
    <cellStyle name="40% - Énfasis2 29" xfId="351" xr:uid="{00000000-0005-0000-0000-0000C4020000}"/>
    <cellStyle name="40% - Énfasis2 29 2" xfId="2432" xr:uid="{00000000-0005-0000-0000-0000C5020000}"/>
    <cellStyle name="40% - Énfasis2 3" xfId="352" xr:uid="{00000000-0005-0000-0000-0000C6020000}"/>
    <cellStyle name="40% - Énfasis2 3 2" xfId="2433" xr:uid="{00000000-0005-0000-0000-0000C7020000}"/>
    <cellStyle name="40% - Énfasis2 30" xfId="353" xr:uid="{00000000-0005-0000-0000-0000C8020000}"/>
    <cellStyle name="40% - Énfasis2 30 2" xfId="2434" xr:uid="{00000000-0005-0000-0000-0000C9020000}"/>
    <cellStyle name="40% - Énfasis2 31" xfId="354" xr:uid="{00000000-0005-0000-0000-0000CA020000}"/>
    <cellStyle name="40% - Énfasis2 31 2" xfId="2435" xr:uid="{00000000-0005-0000-0000-0000CB020000}"/>
    <cellStyle name="40% - Énfasis2 32" xfId="355" xr:uid="{00000000-0005-0000-0000-0000CC020000}"/>
    <cellStyle name="40% - Énfasis2 32 2" xfId="2436" xr:uid="{00000000-0005-0000-0000-0000CD020000}"/>
    <cellStyle name="40% - Énfasis2 33" xfId="356" xr:uid="{00000000-0005-0000-0000-0000CE020000}"/>
    <cellStyle name="40% - Énfasis2 33 2" xfId="2437" xr:uid="{00000000-0005-0000-0000-0000CF020000}"/>
    <cellStyle name="40% - Énfasis2 34" xfId="357" xr:uid="{00000000-0005-0000-0000-0000D0020000}"/>
    <cellStyle name="40% - Énfasis2 34 2" xfId="2438" xr:uid="{00000000-0005-0000-0000-0000D1020000}"/>
    <cellStyle name="40% - Énfasis2 35" xfId="358" xr:uid="{00000000-0005-0000-0000-0000D2020000}"/>
    <cellStyle name="40% - Énfasis2 35 2" xfId="2439" xr:uid="{00000000-0005-0000-0000-0000D3020000}"/>
    <cellStyle name="40% - Énfasis2 36" xfId="359" xr:uid="{00000000-0005-0000-0000-0000D4020000}"/>
    <cellStyle name="40% - Énfasis2 36 2" xfId="2440" xr:uid="{00000000-0005-0000-0000-0000D5020000}"/>
    <cellStyle name="40% - Énfasis2 37" xfId="360" xr:uid="{00000000-0005-0000-0000-0000D6020000}"/>
    <cellStyle name="40% - Énfasis2 37 2" xfId="2441" xr:uid="{00000000-0005-0000-0000-0000D7020000}"/>
    <cellStyle name="40% - Énfasis2 38" xfId="361" xr:uid="{00000000-0005-0000-0000-0000D8020000}"/>
    <cellStyle name="40% - Énfasis2 38 2" xfId="2442" xr:uid="{00000000-0005-0000-0000-0000D9020000}"/>
    <cellStyle name="40% - Énfasis2 39" xfId="362" xr:uid="{00000000-0005-0000-0000-0000DA020000}"/>
    <cellStyle name="40% - Énfasis2 39 2" xfId="2443" xr:uid="{00000000-0005-0000-0000-0000DB020000}"/>
    <cellStyle name="40% - Énfasis2 4" xfId="363" xr:uid="{00000000-0005-0000-0000-0000DC020000}"/>
    <cellStyle name="40% - Énfasis2 4 2" xfId="2444" xr:uid="{00000000-0005-0000-0000-0000DD020000}"/>
    <cellStyle name="40% - Énfasis2 40" xfId="364" xr:uid="{00000000-0005-0000-0000-0000DE020000}"/>
    <cellStyle name="40% - Énfasis2 40 2" xfId="2445" xr:uid="{00000000-0005-0000-0000-0000DF020000}"/>
    <cellStyle name="40% - Énfasis2 41" xfId="365" xr:uid="{00000000-0005-0000-0000-0000E0020000}"/>
    <cellStyle name="40% - Énfasis2 41 2" xfId="2446" xr:uid="{00000000-0005-0000-0000-0000E1020000}"/>
    <cellStyle name="40% - Énfasis2 42" xfId="366" xr:uid="{00000000-0005-0000-0000-0000E2020000}"/>
    <cellStyle name="40% - Énfasis2 42 2" xfId="2447" xr:uid="{00000000-0005-0000-0000-0000E3020000}"/>
    <cellStyle name="40% - Énfasis2 43" xfId="367" xr:uid="{00000000-0005-0000-0000-0000E4020000}"/>
    <cellStyle name="40% - Énfasis2 43 2" xfId="2448" xr:uid="{00000000-0005-0000-0000-0000E5020000}"/>
    <cellStyle name="40% - Énfasis2 44" xfId="368" xr:uid="{00000000-0005-0000-0000-0000E6020000}"/>
    <cellStyle name="40% - Énfasis2 44 2" xfId="2449" xr:uid="{00000000-0005-0000-0000-0000E7020000}"/>
    <cellStyle name="40% - Énfasis2 45" xfId="369" xr:uid="{00000000-0005-0000-0000-0000E8020000}"/>
    <cellStyle name="40% - Énfasis2 45 2" xfId="2450" xr:uid="{00000000-0005-0000-0000-0000E9020000}"/>
    <cellStyle name="40% - Énfasis2 46" xfId="370" xr:uid="{00000000-0005-0000-0000-0000EA020000}"/>
    <cellStyle name="40% - Énfasis2 46 2" xfId="2451" xr:uid="{00000000-0005-0000-0000-0000EB020000}"/>
    <cellStyle name="40% - Énfasis2 47" xfId="371" xr:uid="{00000000-0005-0000-0000-0000EC020000}"/>
    <cellStyle name="40% - Énfasis2 47 2" xfId="2452" xr:uid="{00000000-0005-0000-0000-0000ED020000}"/>
    <cellStyle name="40% - Énfasis2 5" xfId="372" xr:uid="{00000000-0005-0000-0000-0000EE020000}"/>
    <cellStyle name="40% - Énfasis2 5 2" xfId="2453" xr:uid="{00000000-0005-0000-0000-0000EF020000}"/>
    <cellStyle name="40% - Énfasis2 6" xfId="373" xr:uid="{00000000-0005-0000-0000-0000F0020000}"/>
    <cellStyle name="40% - Énfasis2 6 2" xfId="2454" xr:uid="{00000000-0005-0000-0000-0000F1020000}"/>
    <cellStyle name="40% - Énfasis2 7" xfId="374" xr:uid="{00000000-0005-0000-0000-0000F2020000}"/>
    <cellStyle name="40% - Énfasis2 7 2" xfId="2455" xr:uid="{00000000-0005-0000-0000-0000F3020000}"/>
    <cellStyle name="40% - Énfasis2 8" xfId="375" xr:uid="{00000000-0005-0000-0000-0000F4020000}"/>
    <cellStyle name="40% - Énfasis2 8 2" xfId="2456" xr:uid="{00000000-0005-0000-0000-0000F5020000}"/>
    <cellStyle name="40% - Énfasis2 9" xfId="376" xr:uid="{00000000-0005-0000-0000-0000F6020000}"/>
    <cellStyle name="40% - Énfasis2 9 2" xfId="2457" xr:uid="{00000000-0005-0000-0000-0000F7020000}"/>
    <cellStyle name="40% - Énfasis3" xfId="2068" builtinId="39" customBuiltin="1"/>
    <cellStyle name="40% - Énfasis3 1" xfId="377" xr:uid="{00000000-0005-0000-0000-0000F9020000}"/>
    <cellStyle name="40% - Énfasis3 1 2" xfId="2458" xr:uid="{00000000-0005-0000-0000-0000FA020000}"/>
    <cellStyle name="40% - Énfasis3 10" xfId="378" xr:uid="{00000000-0005-0000-0000-0000FB020000}"/>
    <cellStyle name="40% - Énfasis3 10 2" xfId="2459" xr:uid="{00000000-0005-0000-0000-0000FC020000}"/>
    <cellStyle name="40% - Énfasis3 11" xfId="379" xr:uid="{00000000-0005-0000-0000-0000FD020000}"/>
    <cellStyle name="40% - Énfasis3 11 2" xfId="2460" xr:uid="{00000000-0005-0000-0000-0000FE020000}"/>
    <cellStyle name="40% - Énfasis3 12" xfId="380" xr:uid="{00000000-0005-0000-0000-0000FF020000}"/>
    <cellStyle name="40% - Énfasis3 12 2" xfId="2461" xr:uid="{00000000-0005-0000-0000-000000030000}"/>
    <cellStyle name="40% - Énfasis3 13" xfId="381" xr:uid="{00000000-0005-0000-0000-000001030000}"/>
    <cellStyle name="40% - Énfasis3 13 2" xfId="2462" xr:uid="{00000000-0005-0000-0000-000002030000}"/>
    <cellStyle name="40% - Énfasis3 14" xfId="382" xr:uid="{00000000-0005-0000-0000-000003030000}"/>
    <cellStyle name="40% - Énfasis3 14 2" xfId="2463" xr:uid="{00000000-0005-0000-0000-000004030000}"/>
    <cellStyle name="40% - Énfasis3 15" xfId="383" xr:uid="{00000000-0005-0000-0000-000005030000}"/>
    <cellStyle name="40% - Énfasis3 15 2" xfId="2464" xr:uid="{00000000-0005-0000-0000-000006030000}"/>
    <cellStyle name="40% - Énfasis3 16" xfId="384" xr:uid="{00000000-0005-0000-0000-000007030000}"/>
    <cellStyle name="40% - Énfasis3 16 2" xfId="2465" xr:uid="{00000000-0005-0000-0000-000008030000}"/>
    <cellStyle name="40% - Énfasis3 17" xfId="385" xr:uid="{00000000-0005-0000-0000-000009030000}"/>
    <cellStyle name="40% - Énfasis3 17 2" xfId="2466" xr:uid="{00000000-0005-0000-0000-00000A030000}"/>
    <cellStyle name="40% - Énfasis3 18" xfId="386" xr:uid="{00000000-0005-0000-0000-00000B030000}"/>
    <cellStyle name="40% - Énfasis3 18 2" xfId="2467" xr:uid="{00000000-0005-0000-0000-00000C030000}"/>
    <cellStyle name="40% - Énfasis3 19" xfId="387" xr:uid="{00000000-0005-0000-0000-00000D030000}"/>
    <cellStyle name="40% - Énfasis3 19 2" xfId="2468" xr:uid="{00000000-0005-0000-0000-00000E030000}"/>
    <cellStyle name="40% - Énfasis3 2" xfId="388" xr:uid="{00000000-0005-0000-0000-00000F030000}"/>
    <cellStyle name="40% - Énfasis3 2 2" xfId="2469" xr:uid="{00000000-0005-0000-0000-000010030000}"/>
    <cellStyle name="40% - Énfasis3 20" xfId="389" xr:uid="{00000000-0005-0000-0000-000011030000}"/>
    <cellStyle name="40% - Énfasis3 20 2" xfId="2470" xr:uid="{00000000-0005-0000-0000-000012030000}"/>
    <cellStyle name="40% - Énfasis3 21" xfId="390" xr:uid="{00000000-0005-0000-0000-000013030000}"/>
    <cellStyle name="40% - Énfasis3 21 2" xfId="2471" xr:uid="{00000000-0005-0000-0000-000014030000}"/>
    <cellStyle name="40% - Énfasis3 22" xfId="391" xr:uid="{00000000-0005-0000-0000-000015030000}"/>
    <cellStyle name="40% - Énfasis3 22 2" xfId="2472" xr:uid="{00000000-0005-0000-0000-000016030000}"/>
    <cellStyle name="40% - Énfasis3 23" xfId="392" xr:uid="{00000000-0005-0000-0000-000017030000}"/>
    <cellStyle name="40% - Énfasis3 23 2" xfId="2473" xr:uid="{00000000-0005-0000-0000-000018030000}"/>
    <cellStyle name="40% - Énfasis3 24" xfId="393" xr:uid="{00000000-0005-0000-0000-000019030000}"/>
    <cellStyle name="40% - Énfasis3 24 2" xfId="2474" xr:uid="{00000000-0005-0000-0000-00001A030000}"/>
    <cellStyle name="40% - Énfasis3 25" xfId="394" xr:uid="{00000000-0005-0000-0000-00001B030000}"/>
    <cellStyle name="40% - Énfasis3 25 2" xfId="2475" xr:uid="{00000000-0005-0000-0000-00001C030000}"/>
    <cellStyle name="40% - Énfasis3 26" xfId="395" xr:uid="{00000000-0005-0000-0000-00001D030000}"/>
    <cellStyle name="40% - Énfasis3 26 2" xfId="2476" xr:uid="{00000000-0005-0000-0000-00001E030000}"/>
    <cellStyle name="40% - Énfasis3 27" xfId="396" xr:uid="{00000000-0005-0000-0000-00001F030000}"/>
    <cellStyle name="40% - Énfasis3 27 2" xfId="2477" xr:uid="{00000000-0005-0000-0000-000020030000}"/>
    <cellStyle name="40% - Énfasis3 28" xfId="397" xr:uid="{00000000-0005-0000-0000-000021030000}"/>
    <cellStyle name="40% - Énfasis3 28 2" xfId="2478" xr:uid="{00000000-0005-0000-0000-000022030000}"/>
    <cellStyle name="40% - Énfasis3 29" xfId="398" xr:uid="{00000000-0005-0000-0000-000023030000}"/>
    <cellStyle name="40% - Énfasis3 29 2" xfId="2479" xr:uid="{00000000-0005-0000-0000-000024030000}"/>
    <cellStyle name="40% - Énfasis3 3" xfId="399" xr:uid="{00000000-0005-0000-0000-000025030000}"/>
    <cellStyle name="40% - Énfasis3 3 2" xfId="2480" xr:uid="{00000000-0005-0000-0000-000026030000}"/>
    <cellStyle name="40% - Énfasis3 30" xfId="400" xr:uid="{00000000-0005-0000-0000-000027030000}"/>
    <cellStyle name="40% - Énfasis3 30 2" xfId="2481" xr:uid="{00000000-0005-0000-0000-000028030000}"/>
    <cellStyle name="40% - Énfasis3 31" xfId="401" xr:uid="{00000000-0005-0000-0000-000029030000}"/>
    <cellStyle name="40% - Énfasis3 31 2" xfId="2482" xr:uid="{00000000-0005-0000-0000-00002A030000}"/>
    <cellStyle name="40% - Énfasis3 32" xfId="402" xr:uid="{00000000-0005-0000-0000-00002B030000}"/>
    <cellStyle name="40% - Énfasis3 32 2" xfId="2483" xr:uid="{00000000-0005-0000-0000-00002C030000}"/>
    <cellStyle name="40% - Énfasis3 33" xfId="403" xr:uid="{00000000-0005-0000-0000-00002D030000}"/>
    <cellStyle name="40% - Énfasis3 33 2" xfId="2484" xr:uid="{00000000-0005-0000-0000-00002E030000}"/>
    <cellStyle name="40% - Énfasis3 34" xfId="404" xr:uid="{00000000-0005-0000-0000-00002F030000}"/>
    <cellStyle name="40% - Énfasis3 34 2" xfId="2485" xr:uid="{00000000-0005-0000-0000-000030030000}"/>
    <cellStyle name="40% - Énfasis3 35" xfId="405" xr:uid="{00000000-0005-0000-0000-000031030000}"/>
    <cellStyle name="40% - Énfasis3 35 2" xfId="2486" xr:uid="{00000000-0005-0000-0000-000032030000}"/>
    <cellStyle name="40% - Énfasis3 36" xfId="406" xr:uid="{00000000-0005-0000-0000-000033030000}"/>
    <cellStyle name="40% - Énfasis3 36 2" xfId="2487" xr:uid="{00000000-0005-0000-0000-000034030000}"/>
    <cellStyle name="40% - Énfasis3 37" xfId="407" xr:uid="{00000000-0005-0000-0000-000035030000}"/>
    <cellStyle name="40% - Énfasis3 37 2" xfId="2488" xr:uid="{00000000-0005-0000-0000-000036030000}"/>
    <cellStyle name="40% - Énfasis3 38" xfId="408" xr:uid="{00000000-0005-0000-0000-000037030000}"/>
    <cellStyle name="40% - Énfasis3 38 2" xfId="2489" xr:uid="{00000000-0005-0000-0000-000038030000}"/>
    <cellStyle name="40% - Énfasis3 39" xfId="409" xr:uid="{00000000-0005-0000-0000-000039030000}"/>
    <cellStyle name="40% - Énfasis3 39 2" xfId="2490" xr:uid="{00000000-0005-0000-0000-00003A030000}"/>
    <cellStyle name="40% - Énfasis3 4" xfId="410" xr:uid="{00000000-0005-0000-0000-00003B030000}"/>
    <cellStyle name="40% - Énfasis3 4 2" xfId="2491" xr:uid="{00000000-0005-0000-0000-00003C030000}"/>
    <cellStyle name="40% - Énfasis3 40" xfId="411" xr:uid="{00000000-0005-0000-0000-00003D030000}"/>
    <cellStyle name="40% - Énfasis3 40 2" xfId="2492" xr:uid="{00000000-0005-0000-0000-00003E030000}"/>
    <cellStyle name="40% - Énfasis3 41" xfId="412" xr:uid="{00000000-0005-0000-0000-00003F030000}"/>
    <cellStyle name="40% - Énfasis3 41 2" xfId="2493" xr:uid="{00000000-0005-0000-0000-000040030000}"/>
    <cellStyle name="40% - Énfasis3 42" xfId="413" xr:uid="{00000000-0005-0000-0000-000041030000}"/>
    <cellStyle name="40% - Énfasis3 42 2" xfId="2494" xr:uid="{00000000-0005-0000-0000-000042030000}"/>
    <cellStyle name="40% - Énfasis3 43" xfId="414" xr:uid="{00000000-0005-0000-0000-000043030000}"/>
    <cellStyle name="40% - Énfasis3 43 2" xfId="2495" xr:uid="{00000000-0005-0000-0000-000044030000}"/>
    <cellStyle name="40% - Énfasis3 44" xfId="415" xr:uid="{00000000-0005-0000-0000-000045030000}"/>
    <cellStyle name="40% - Énfasis3 44 2" xfId="2496" xr:uid="{00000000-0005-0000-0000-000046030000}"/>
    <cellStyle name="40% - Énfasis3 45" xfId="416" xr:uid="{00000000-0005-0000-0000-000047030000}"/>
    <cellStyle name="40% - Énfasis3 45 2" xfId="2497" xr:uid="{00000000-0005-0000-0000-000048030000}"/>
    <cellStyle name="40% - Énfasis3 46" xfId="417" xr:uid="{00000000-0005-0000-0000-000049030000}"/>
    <cellStyle name="40% - Énfasis3 46 2" xfId="2498" xr:uid="{00000000-0005-0000-0000-00004A030000}"/>
    <cellStyle name="40% - Énfasis3 47" xfId="418" xr:uid="{00000000-0005-0000-0000-00004B030000}"/>
    <cellStyle name="40% - Énfasis3 47 2" xfId="2499" xr:uid="{00000000-0005-0000-0000-00004C030000}"/>
    <cellStyle name="40% - Énfasis3 5" xfId="419" xr:uid="{00000000-0005-0000-0000-00004D030000}"/>
    <cellStyle name="40% - Énfasis3 5 2" xfId="2500" xr:uid="{00000000-0005-0000-0000-00004E030000}"/>
    <cellStyle name="40% - Énfasis3 6" xfId="420" xr:uid="{00000000-0005-0000-0000-00004F030000}"/>
    <cellStyle name="40% - Énfasis3 6 2" xfId="2501" xr:uid="{00000000-0005-0000-0000-000050030000}"/>
    <cellStyle name="40% - Énfasis3 7" xfId="421" xr:uid="{00000000-0005-0000-0000-000051030000}"/>
    <cellStyle name="40% - Énfasis3 7 2" xfId="2502" xr:uid="{00000000-0005-0000-0000-000052030000}"/>
    <cellStyle name="40% - Énfasis3 8" xfId="422" xr:uid="{00000000-0005-0000-0000-000053030000}"/>
    <cellStyle name="40% - Énfasis3 8 2" xfId="2503" xr:uid="{00000000-0005-0000-0000-000054030000}"/>
    <cellStyle name="40% - Énfasis3 9" xfId="423" xr:uid="{00000000-0005-0000-0000-000055030000}"/>
    <cellStyle name="40% - Énfasis3 9 2" xfId="2504" xr:uid="{00000000-0005-0000-0000-000056030000}"/>
    <cellStyle name="40% - Énfasis4" xfId="2072" builtinId="43" customBuiltin="1"/>
    <cellStyle name="40% - Énfasis4 1" xfId="424" xr:uid="{00000000-0005-0000-0000-000058030000}"/>
    <cellStyle name="40% - Énfasis4 1 2" xfId="2505" xr:uid="{00000000-0005-0000-0000-000059030000}"/>
    <cellStyle name="40% - Énfasis4 10" xfId="425" xr:uid="{00000000-0005-0000-0000-00005A030000}"/>
    <cellStyle name="40% - Énfasis4 10 2" xfId="2506" xr:uid="{00000000-0005-0000-0000-00005B030000}"/>
    <cellStyle name="40% - Énfasis4 11" xfId="426" xr:uid="{00000000-0005-0000-0000-00005C030000}"/>
    <cellStyle name="40% - Énfasis4 11 2" xfId="2507" xr:uid="{00000000-0005-0000-0000-00005D030000}"/>
    <cellStyle name="40% - Énfasis4 12" xfId="427" xr:uid="{00000000-0005-0000-0000-00005E030000}"/>
    <cellStyle name="40% - Énfasis4 12 2" xfId="2508" xr:uid="{00000000-0005-0000-0000-00005F030000}"/>
    <cellStyle name="40% - Énfasis4 13" xfId="428" xr:uid="{00000000-0005-0000-0000-000060030000}"/>
    <cellStyle name="40% - Énfasis4 13 2" xfId="2509" xr:uid="{00000000-0005-0000-0000-000061030000}"/>
    <cellStyle name="40% - Énfasis4 14" xfId="429" xr:uid="{00000000-0005-0000-0000-000062030000}"/>
    <cellStyle name="40% - Énfasis4 14 2" xfId="2510" xr:uid="{00000000-0005-0000-0000-000063030000}"/>
    <cellStyle name="40% - Énfasis4 15" xfId="430" xr:uid="{00000000-0005-0000-0000-000064030000}"/>
    <cellStyle name="40% - Énfasis4 15 2" xfId="2511" xr:uid="{00000000-0005-0000-0000-000065030000}"/>
    <cellStyle name="40% - Énfasis4 16" xfId="431" xr:uid="{00000000-0005-0000-0000-000066030000}"/>
    <cellStyle name="40% - Énfasis4 16 2" xfId="2512" xr:uid="{00000000-0005-0000-0000-000067030000}"/>
    <cellStyle name="40% - Énfasis4 17" xfId="432" xr:uid="{00000000-0005-0000-0000-000068030000}"/>
    <cellStyle name="40% - Énfasis4 17 2" xfId="2513" xr:uid="{00000000-0005-0000-0000-000069030000}"/>
    <cellStyle name="40% - Énfasis4 18" xfId="433" xr:uid="{00000000-0005-0000-0000-00006A030000}"/>
    <cellStyle name="40% - Énfasis4 18 2" xfId="2514" xr:uid="{00000000-0005-0000-0000-00006B030000}"/>
    <cellStyle name="40% - Énfasis4 19" xfId="434" xr:uid="{00000000-0005-0000-0000-00006C030000}"/>
    <cellStyle name="40% - Énfasis4 19 2" xfId="2515" xr:uid="{00000000-0005-0000-0000-00006D030000}"/>
    <cellStyle name="40% - Énfasis4 2" xfId="435" xr:uid="{00000000-0005-0000-0000-00006E030000}"/>
    <cellStyle name="40% - Énfasis4 2 2" xfId="2516" xr:uid="{00000000-0005-0000-0000-00006F030000}"/>
    <cellStyle name="40% - Énfasis4 20" xfId="436" xr:uid="{00000000-0005-0000-0000-000070030000}"/>
    <cellStyle name="40% - Énfasis4 20 2" xfId="2517" xr:uid="{00000000-0005-0000-0000-000071030000}"/>
    <cellStyle name="40% - Énfasis4 21" xfId="437" xr:uid="{00000000-0005-0000-0000-000072030000}"/>
    <cellStyle name="40% - Énfasis4 21 2" xfId="2518" xr:uid="{00000000-0005-0000-0000-000073030000}"/>
    <cellStyle name="40% - Énfasis4 22" xfId="438" xr:uid="{00000000-0005-0000-0000-000074030000}"/>
    <cellStyle name="40% - Énfasis4 22 2" xfId="2519" xr:uid="{00000000-0005-0000-0000-000075030000}"/>
    <cellStyle name="40% - Énfasis4 23" xfId="439" xr:uid="{00000000-0005-0000-0000-000076030000}"/>
    <cellStyle name="40% - Énfasis4 23 2" xfId="2520" xr:uid="{00000000-0005-0000-0000-000077030000}"/>
    <cellStyle name="40% - Énfasis4 24" xfId="440" xr:uid="{00000000-0005-0000-0000-000078030000}"/>
    <cellStyle name="40% - Énfasis4 24 2" xfId="2521" xr:uid="{00000000-0005-0000-0000-000079030000}"/>
    <cellStyle name="40% - Énfasis4 25" xfId="441" xr:uid="{00000000-0005-0000-0000-00007A030000}"/>
    <cellStyle name="40% - Énfasis4 25 2" xfId="2522" xr:uid="{00000000-0005-0000-0000-00007B030000}"/>
    <cellStyle name="40% - Énfasis4 26" xfId="442" xr:uid="{00000000-0005-0000-0000-00007C030000}"/>
    <cellStyle name="40% - Énfasis4 26 2" xfId="2523" xr:uid="{00000000-0005-0000-0000-00007D030000}"/>
    <cellStyle name="40% - Énfasis4 27" xfId="443" xr:uid="{00000000-0005-0000-0000-00007E030000}"/>
    <cellStyle name="40% - Énfasis4 27 2" xfId="2524" xr:uid="{00000000-0005-0000-0000-00007F030000}"/>
    <cellStyle name="40% - Énfasis4 28" xfId="444" xr:uid="{00000000-0005-0000-0000-000080030000}"/>
    <cellStyle name="40% - Énfasis4 28 2" xfId="2525" xr:uid="{00000000-0005-0000-0000-000081030000}"/>
    <cellStyle name="40% - Énfasis4 29" xfId="445" xr:uid="{00000000-0005-0000-0000-000082030000}"/>
    <cellStyle name="40% - Énfasis4 29 2" xfId="2526" xr:uid="{00000000-0005-0000-0000-000083030000}"/>
    <cellStyle name="40% - Énfasis4 3" xfId="446" xr:uid="{00000000-0005-0000-0000-000084030000}"/>
    <cellStyle name="40% - Énfasis4 3 2" xfId="2527" xr:uid="{00000000-0005-0000-0000-000085030000}"/>
    <cellStyle name="40% - Énfasis4 30" xfId="447" xr:uid="{00000000-0005-0000-0000-000086030000}"/>
    <cellStyle name="40% - Énfasis4 30 2" xfId="2528" xr:uid="{00000000-0005-0000-0000-000087030000}"/>
    <cellStyle name="40% - Énfasis4 31" xfId="448" xr:uid="{00000000-0005-0000-0000-000088030000}"/>
    <cellStyle name="40% - Énfasis4 31 2" xfId="2529" xr:uid="{00000000-0005-0000-0000-000089030000}"/>
    <cellStyle name="40% - Énfasis4 32" xfId="449" xr:uid="{00000000-0005-0000-0000-00008A030000}"/>
    <cellStyle name="40% - Énfasis4 32 2" xfId="2530" xr:uid="{00000000-0005-0000-0000-00008B030000}"/>
    <cellStyle name="40% - Énfasis4 33" xfId="450" xr:uid="{00000000-0005-0000-0000-00008C030000}"/>
    <cellStyle name="40% - Énfasis4 33 2" xfId="2531" xr:uid="{00000000-0005-0000-0000-00008D030000}"/>
    <cellStyle name="40% - Énfasis4 34" xfId="451" xr:uid="{00000000-0005-0000-0000-00008E030000}"/>
    <cellStyle name="40% - Énfasis4 34 2" xfId="2532" xr:uid="{00000000-0005-0000-0000-00008F030000}"/>
    <cellStyle name="40% - Énfasis4 35" xfId="452" xr:uid="{00000000-0005-0000-0000-000090030000}"/>
    <cellStyle name="40% - Énfasis4 35 2" xfId="2533" xr:uid="{00000000-0005-0000-0000-000091030000}"/>
    <cellStyle name="40% - Énfasis4 36" xfId="453" xr:uid="{00000000-0005-0000-0000-000092030000}"/>
    <cellStyle name="40% - Énfasis4 36 2" xfId="2534" xr:uid="{00000000-0005-0000-0000-000093030000}"/>
    <cellStyle name="40% - Énfasis4 37" xfId="454" xr:uid="{00000000-0005-0000-0000-000094030000}"/>
    <cellStyle name="40% - Énfasis4 37 2" xfId="2535" xr:uid="{00000000-0005-0000-0000-000095030000}"/>
    <cellStyle name="40% - Énfasis4 38" xfId="455" xr:uid="{00000000-0005-0000-0000-000096030000}"/>
    <cellStyle name="40% - Énfasis4 38 2" xfId="2536" xr:uid="{00000000-0005-0000-0000-000097030000}"/>
    <cellStyle name="40% - Énfasis4 39" xfId="456" xr:uid="{00000000-0005-0000-0000-000098030000}"/>
    <cellStyle name="40% - Énfasis4 39 2" xfId="2537" xr:uid="{00000000-0005-0000-0000-000099030000}"/>
    <cellStyle name="40% - Énfasis4 4" xfId="457" xr:uid="{00000000-0005-0000-0000-00009A030000}"/>
    <cellStyle name="40% - Énfasis4 4 2" xfId="2538" xr:uid="{00000000-0005-0000-0000-00009B030000}"/>
    <cellStyle name="40% - Énfasis4 40" xfId="458" xr:uid="{00000000-0005-0000-0000-00009C030000}"/>
    <cellStyle name="40% - Énfasis4 40 2" xfId="2539" xr:uid="{00000000-0005-0000-0000-00009D030000}"/>
    <cellStyle name="40% - Énfasis4 41" xfId="459" xr:uid="{00000000-0005-0000-0000-00009E030000}"/>
    <cellStyle name="40% - Énfasis4 41 2" xfId="2540" xr:uid="{00000000-0005-0000-0000-00009F030000}"/>
    <cellStyle name="40% - Énfasis4 42" xfId="460" xr:uid="{00000000-0005-0000-0000-0000A0030000}"/>
    <cellStyle name="40% - Énfasis4 42 2" xfId="2541" xr:uid="{00000000-0005-0000-0000-0000A1030000}"/>
    <cellStyle name="40% - Énfasis4 43" xfId="461" xr:uid="{00000000-0005-0000-0000-0000A2030000}"/>
    <cellStyle name="40% - Énfasis4 43 2" xfId="2542" xr:uid="{00000000-0005-0000-0000-0000A3030000}"/>
    <cellStyle name="40% - Énfasis4 44" xfId="462" xr:uid="{00000000-0005-0000-0000-0000A4030000}"/>
    <cellStyle name="40% - Énfasis4 44 2" xfId="2543" xr:uid="{00000000-0005-0000-0000-0000A5030000}"/>
    <cellStyle name="40% - Énfasis4 45" xfId="463" xr:uid="{00000000-0005-0000-0000-0000A6030000}"/>
    <cellStyle name="40% - Énfasis4 45 2" xfId="2544" xr:uid="{00000000-0005-0000-0000-0000A7030000}"/>
    <cellStyle name="40% - Énfasis4 46" xfId="464" xr:uid="{00000000-0005-0000-0000-0000A8030000}"/>
    <cellStyle name="40% - Énfasis4 46 2" xfId="2545" xr:uid="{00000000-0005-0000-0000-0000A9030000}"/>
    <cellStyle name="40% - Énfasis4 47" xfId="465" xr:uid="{00000000-0005-0000-0000-0000AA030000}"/>
    <cellStyle name="40% - Énfasis4 47 2" xfId="2546" xr:uid="{00000000-0005-0000-0000-0000AB030000}"/>
    <cellStyle name="40% - Énfasis4 5" xfId="466" xr:uid="{00000000-0005-0000-0000-0000AC030000}"/>
    <cellStyle name="40% - Énfasis4 5 2" xfId="2547" xr:uid="{00000000-0005-0000-0000-0000AD030000}"/>
    <cellStyle name="40% - Énfasis4 6" xfId="467" xr:uid="{00000000-0005-0000-0000-0000AE030000}"/>
    <cellStyle name="40% - Énfasis4 6 2" xfId="2548" xr:uid="{00000000-0005-0000-0000-0000AF030000}"/>
    <cellStyle name="40% - Énfasis4 7" xfId="468" xr:uid="{00000000-0005-0000-0000-0000B0030000}"/>
    <cellStyle name="40% - Énfasis4 7 2" xfId="2549" xr:uid="{00000000-0005-0000-0000-0000B1030000}"/>
    <cellStyle name="40% - Énfasis4 8" xfId="469" xr:uid="{00000000-0005-0000-0000-0000B2030000}"/>
    <cellStyle name="40% - Énfasis4 8 2" xfId="2550" xr:uid="{00000000-0005-0000-0000-0000B3030000}"/>
    <cellStyle name="40% - Énfasis4 9" xfId="470" xr:uid="{00000000-0005-0000-0000-0000B4030000}"/>
    <cellStyle name="40% - Énfasis4 9 2" xfId="2551" xr:uid="{00000000-0005-0000-0000-0000B5030000}"/>
    <cellStyle name="40% - Énfasis5" xfId="2076" builtinId="47" customBuiltin="1"/>
    <cellStyle name="40% - Énfasis5 1" xfId="471" xr:uid="{00000000-0005-0000-0000-0000B7030000}"/>
    <cellStyle name="40% - Énfasis5 1 2" xfId="2552" xr:uid="{00000000-0005-0000-0000-0000B8030000}"/>
    <cellStyle name="40% - Énfasis5 10" xfId="472" xr:uid="{00000000-0005-0000-0000-0000B9030000}"/>
    <cellStyle name="40% - Énfasis5 10 2" xfId="2553" xr:uid="{00000000-0005-0000-0000-0000BA030000}"/>
    <cellStyle name="40% - Énfasis5 11" xfId="473" xr:uid="{00000000-0005-0000-0000-0000BB030000}"/>
    <cellStyle name="40% - Énfasis5 11 2" xfId="2554" xr:uid="{00000000-0005-0000-0000-0000BC030000}"/>
    <cellStyle name="40% - Énfasis5 12" xfId="474" xr:uid="{00000000-0005-0000-0000-0000BD030000}"/>
    <cellStyle name="40% - Énfasis5 12 2" xfId="2555" xr:uid="{00000000-0005-0000-0000-0000BE030000}"/>
    <cellStyle name="40% - Énfasis5 13" xfId="475" xr:uid="{00000000-0005-0000-0000-0000BF030000}"/>
    <cellStyle name="40% - Énfasis5 13 2" xfId="2556" xr:uid="{00000000-0005-0000-0000-0000C0030000}"/>
    <cellStyle name="40% - Énfasis5 14" xfId="476" xr:uid="{00000000-0005-0000-0000-0000C1030000}"/>
    <cellStyle name="40% - Énfasis5 14 2" xfId="2557" xr:uid="{00000000-0005-0000-0000-0000C2030000}"/>
    <cellStyle name="40% - Énfasis5 15" xfId="477" xr:uid="{00000000-0005-0000-0000-0000C3030000}"/>
    <cellStyle name="40% - Énfasis5 15 2" xfId="2558" xr:uid="{00000000-0005-0000-0000-0000C4030000}"/>
    <cellStyle name="40% - Énfasis5 16" xfId="478" xr:uid="{00000000-0005-0000-0000-0000C5030000}"/>
    <cellStyle name="40% - Énfasis5 16 2" xfId="2559" xr:uid="{00000000-0005-0000-0000-0000C6030000}"/>
    <cellStyle name="40% - Énfasis5 17" xfId="479" xr:uid="{00000000-0005-0000-0000-0000C7030000}"/>
    <cellStyle name="40% - Énfasis5 17 2" xfId="2560" xr:uid="{00000000-0005-0000-0000-0000C8030000}"/>
    <cellStyle name="40% - Énfasis5 18" xfId="480" xr:uid="{00000000-0005-0000-0000-0000C9030000}"/>
    <cellStyle name="40% - Énfasis5 18 2" xfId="2561" xr:uid="{00000000-0005-0000-0000-0000CA030000}"/>
    <cellStyle name="40% - Énfasis5 19" xfId="481" xr:uid="{00000000-0005-0000-0000-0000CB030000}"/>
    <cellStyle name="40% - Énfasis5 19 2" xfId="2562" xr:uid="{00000000-0005-0000-0000-0000CC030000}"/>
    <cellStyle name="40% - Énfasis5 2" xfId="482" xr:uid="{00000000-0005-0000-0000-0000CD030000}"/>
    <cellStyle name="40% - Énfasis5 2 2" xfId="2563" xr:uid="{00000000-0005-0000-0000-0000CE030000}"/>
    <cellStyle name="40% - Énfasis5 20" xfId="483" xr:uid="{00000000-0005-0000-0000-0000CF030000}"/>
    <cellStyle name="40% - Énfasis5 20 2" xfId="2564" xr:uid="{00000000-0005-0000-0000-0000D0030000}"/>
    <cellStyle name="40% - Énfasis5 21" xfId="484" xr:uid="{00000000-0005-0000-0000-0000D1030000}"/>
    <cellStyle name="40% - Énfasis5 21 2" xfId="2565" xr:uid="{00000000-0005-0000-0000-0000D2030000}"/>
    <cellStyle name="40% - Énfasis5 22" xfId="485" xr:uid="{00000000-0005-0000-0000-0000D3030000}"/>
    <cellStyle name="40% - Énfasis5 22 2" xfId="2566" xr:uid="{00000000-0005-0000-0000-0000D4030000}"/>
    <cellStyle name="40% - Énfasis5 23" xfId="486" xr:uid="{00000000-0005-0000-0000-0000D5030000}"/>
    <cellStyle name="40% - Énfasis5 23 2" xfId="2567" xr:uid="{00000000-0005-0000-0000-0000D6030000}"/>
    <cellStyle name="40% - Énfasis5 24" xfId="487" xr:uid="{00000000-0005-0000-0000-0000D7030000}"/>
    <cellStyle name="40% - Énfasis5 24 2" xfId="2568" xr:uid="{00000000-0005-0000-0000-0000D8030000}"/>
    <cellStyle name="40% - Énfasis5 25" xfId="488" xr:uid="{00000000-0005-0000-0000-0000D9030000}"/>
    <cellStyle name="40% - Énfasis5 25 2" xfId="2569" xr:uid="{00000000-0005-0000-0000-0000DA030000}"/>
    <cellStyle name="40% - Énfasis5 26" xfId="489" xr:uid="{00000000-0005-0000-0000-0000DB030000}"/>
    <cellStyle name="40% - Énfasis5 26 2" xfId="2570" xr:uid="{00000000-0005-0000-0000-0000DC030000}"/>
    <cellStyle name="40% - Énfasis5 27" xfId="490" xr:uid="{00000000-0005-0000-0000-0000DD030000}"/>
    <cellStyle name="40% - Énfasis5 27 2" xfId="2571" xr:uid="{00000000-0005-0000-0000-0000DE030000}"/>
    <cellStyle name="40% - Énfasis5 28" xfId="491" xr:uid="{00000000-0005-0000-0000-0000DF030000}"/>
    <cellStyle name="40% - Énfasis5 28 2" xfId="2572" xr:uid="{00000000-0005-0000-0000-0000E0030000}"/>
    <cellStyle name="40% - Énfasis5 29" xfId="492" xr:uid="{00000000-0005-0000-0000-0000E1030000}"/>
    <cellStyle name="40% - Énfasis5 29 2" xfId="2573" xr:uid="{00000000-0005-0000-0000-0000E2030000}"/>
    <cellStyle name="40% - Énfasis5 3" xfId="493" xr:uid="{00000000-0005-0000-0000-0000E3030000}"/>
    <cellStyle name="40% - Énfasis5 3 2" xfId="2574" xr:uid="{00000000-0005-0000-0000-0000E4030000}"/>
    <cellStyle name="40% - Énfasis5 30" xfId="494" xr:uid="{00000000-0005-0000-0000-0000E5030000}"/>
    <cellStyle name="40% - Énfasis5 30 2" xfId="2575" xr:uid="{00000000-0005-0000-0000-0000E6030000}"/>
    <cellStyle name="40% - Énfasis5 31" xfId="495" xr:uid="{00000000-0005-0000-0000-0000E7030000}"/>
    <cellStyle name="40% - Énfasis5 31 2" xfId="2576" xr:uid="{00000000-0005-0000-0000-0000E8030000}"/>
    <cellStyle name="40% - Énfasis5 32" xfId="496" xr:uid="{00000000-0005-0000-0000-0000E9030000}"/>
    <cellStyle name="40% - Énfasis5 32 2" xfId="2577" xr:uid="{00000000-0005-0000-0000-0000EA030000}"/>
    <cellStyle name="40% - Énfasis5 33" xfId="497" xr:uid="{00000000-0005-0000-0000-0000EB030000}"/>
    <cellStyle name="40% - Énfasis5 33 2" xfId="2578" xr:uid="{00000000-0005-0000-0000-0000EC030000}"/>
    <cellStyle name="40% - Énfasis5 34" xfId="498" xr:uid="{00000000-0005-0000-0000-0000ED030000}"/>
    <cellStyle name="40% - Énfasis5 34 2" xfId="2579" xr:uid="{00000000-0005-0000-0000-0000EE030000}"/>
    <cellStyle name="40% - Énfasis5 35" xfId="499" xr:uid="{00000000-0005-0000-0000-0000EF030000}"/>
    <cellStyle name="40% - Énfasis5 35 2" xfId="2580" xr:uid="{00000000-0005-0000-0000-0000F0030000}"/>
    <cellStyle name="40% - Énfasis5 36" xfId="500" xr:uid="{00000000-0005-0000-0000-0000F1030000}"/>
    <cellStyle name="40% - Énfasis5 36 2" xfId="2581" xr:uid="{00000000-0005-0000-0000-0000F2030000}"/>
    <cellStyle name="40% - Énfasis5 37" xfId="501" xr:uid="{00000000-0005-0000-0000-0000F3030000}"/>
    <cellStyle name="40% - Énfasis5 37 2" xfId="2582" xr:uid="{00000000-0005-0000-0000-0000F4030000}"/>
    <cellStyle name="40% - Énfasis5 38" xfId="502" xr:uid="{00000000-0005-0000-0000-0000F5030000}"/>
    <cellStyle name="40% - Énfasis5 38 2" xfId="2583" xr:uid="{00000000-0005-0000-0000-0000F6030000}"/>
    <cellStyle name="40% - Énfasis5 39" xfId="503" xr:uid="{00000000-0005-0000-0000-0000F7030000}"/>
    <cellStyle name="40% - Énfasis5 39 2" xfId="2584" xr:uid="{00000000-0005-0000-0000-0000F8030000}"/>
    <cellStyle name="40% - Énfasis5 4" xfId="504" xr:uid="{00000000-0005-0000-0000-0000F9030000}"/>
    <cellStyle name="40% - Énfasis5 4 2" xfId="2585" xr:uid="{00000000-0005-0000-0000-0000FA030000}"/>
    <cellStyle name="40% - Énfasis5 40" xfId="505" xr:uid="{00000000-0005-0000-0000-0000FB030000}"/>
    <cellStyle name="40% - Énfasis5 40 2" xfId="2586" xr:uid="{00000000-0005-0000-0000-0000FC030000}"/>
    <cellStyle name="40% - Énfasis5 41" xfId="506" xr:uid="{00000000-0005-0000-0000-0000FD030000}"/>
    <cellStyle name="40% - Énfasis5 41 2" xfId="2587" xr:uid="{00000000-0005-0000-0000-0000FE030000}"/>
    <cellStyle name="40% - Énfasis5 42" xfId="507" xr:uid="{00000000-0005-0000-0000-0000FF030000}"/>
    <cellStyle name="40% - Énfasis5 42 2" xfId="2588" xr:uid="{00000000-0005-0000-0000-000000040000}"/>
    <cellStyle name="40% - Énfasis5 43" xfId="508" xr:uid="{00000000-0005-0000-0000-000001040000}"/>
    <cellStyle name="40% - Énfasis5 43 2" xfId="2589" xr:uid="{00000000-0005-0000-0000-000002040000}"/>
    <cellStyle name="40% - Énfasis5 44" xfId="509" xr:uid="{00000000-0005-0000-0000-000003040000}"/>
    <cellStyle name="40% - Énfasis5 44 2" xfId="2590" xr:uid="{00000000-0005-0000-0000-000004040000}"/>
    <cellStyle name="40% - Énfasis5 45" xfId="510" xr:uid="{00000000-0005-0000-0000-000005040000}"/>
    <cellStyle name="40% - Énfasis5 45 2" xfId="2591" xr:uid="{00000000-0005-0000-0000-000006040000}"/>
    <cellStyle name="40% - Énfasis5 46" xfId="511" xr:uid="{00000000-0005-0000-0000-000007040000}"/>
    <cellStyle name="40% - Énfasis5 46 2" xfId="2592" xr:uid="{00000000-0005-0000-0000-000008040000}"/>
    <cellStyle name="40% - Énfasis5 47" xfId="512" xr:uid="{00000000-0005-0000-0000-000009040000}"/>
    <cellStyle name="40% - Énfasis5 47 2" xfId="2593" xr:uid="{00000000-0005-0000-0000-00000A040000}"/>
    <cellStyle name="40% - Énfasis5 5" xfId="513" xr:uid="{00000000-0005-0000-0000-00000B040000}"/>
    <cellStyle name="40% - Énfasis5 5 2" xfId="2594" xr:uid="{00000000-0005-0000-0000-00000C040000}"/>
    <cellStyle name="40% - Énfasis5 6" xfId="514" xr:uid="{00000000-0005-0000-0000-00000D040000}"/>
    <cellStyle name="40% - Énfasis5 6 2" xfId="2595" xr:uid="{00000000-0005-0000-0000-00000E040000}"/>
    <cellStyle name="40% - Énfasis5 7" xfId="515" xr:uid="{00000000-0005-0000-0000-00000F040000}"/>
    <cellStyle name="40% - Énfasis5 7 2" xfId="2596" xr:uid="{00000000-0005-0000-0000-000010040000}"/>
    <cellStyle name="40% - Énfasis5 8" xfId="516" xr:uid="{00000000-0005-0000-0000-000011040000}"/>
    <cellStyle name="40% - Énfasis5 8 2" xfId="2597" xr:uid="{00000000-0005-0000-0000-000012040000}"/>
    <cellStyle name="40% - Énfasis5 9" xfId="517" xr:uid="{00000000-0005-0000-0000-000013040000}"/>
    <cellStyle name="40% - Énfasis5 9 2" xfId="2598" xr:uid="{00000000-0005-0000-0000-000014040000}"/>
    <cellStyle name="40% - Énfasis6" xfId="2080" builtinId="51" customBuiltin="1"/>
    <cellStyle name="40% - Énfasis6 1" xfId="518" xr:uid="{00000000-0005-0000-0000-000016040000}"/>
    <cellStyle name="40% - Énfasis6 1 2" xfId="2599" xr:uid="{00000000-0005-0000-0000-000017040000}"/>
    <cellStyle name="40% - Énfasis6 10" xfId="519" xr:uid="{00000000-0005-0000-0000-000018040000}"/>
    <cellStyle name="40% - Énfasis6 10 2" xfId="2600" xr:uid="{00000000-0005-0000-0000-000019040000}"/>
    <cellStyle name="40% - Énfasis6 11" xfId="520" xr:uid="{00000000-0005-0000-0000-00001A040000}"/>
    <cellStyle name="40% - Énfasis6 11 2" xfId="2601" xr:uid="{00000000-0005-0000-0000-00001B040000}"/>
    <cellStyle name="40% - Énfasis6 12" xfId="521" xr:uid="{00000000-0005-0000-0000-00001C040000}"/>
    <cellStyle name="40% - Énfasis6 12 2" xfId="2602" xr:uid="{00000000-0005-0000-0000-00001D040000}"/>
    <cellStyle name="40% - Énfasis6 13" xfId="522" xr:uid="{00000000-0005-0000-0000-00001E040000}"/>
    <cellStyle name="40% - Énfasis6 13 2" xfId="2603" xr:uid="{00000000-0005-0000-0000-00001F040000}"/>
    <cellStyle name="40% - Énfasis6 14" xfId="523" xr:uid="{00000000-0005-0000-0000-000020040000}"/>
    <cellStyle name="40% - Énfasis6 14 2" xfId="2604" xr:uid="{00000000-0005-0000-0000-000021040000}"/>
    <cellStyle name="40% - Énfasis6 15" xfId="524" xr:uid="{00000000-0005-0000-0000-000022040000}"/>
    <cellStyle name="40% - Énfasis6 15 2" xfId="2605" xr:uid="{00000000-0005-0000-0000-000023040000}"/>
    <cellStyle name="40% - Énfasis6 16" xfId="525" xr:uid="{00000000-0005-0000-0000-000024040000}"/>
    <cellStyle name="40% - Énfasis6 16 2" xfId="2606" xr:uid="{00000000-0005-0000-0000-000025040000}"/>
    <cellStyle name="40% - Énfasis6 17" xfId="526" xr:uid="{00000000-0005-0000-0000-000026040000}"/>
    <cellStyle name="40% - Énfasis6 17 2" xfId="2607" xr:uid="{00000000-0005-0000-0000-000027040000}"/>
    <cellStyle name="40% - Énfasis6 18" xfId="527" xr:uid="{00000000-0005-0000-0000-000028040000}"/>
    <cellStyle name="40% - Énfasis6 18 2" xfId="2608" xr:uid="{00000000-0005-0000-0000-000029040000}"/>
    <cellStyle name="40% - Énfasis6 19" xfId="528" xr:uid="{00000000-0005-0000-0000-00002A040000}"/>
    <cellStyle name="40% - Énfasis6 19 2" xfId="2609" xr:uid="{00000000-0005-0000-0000-00002B040000}"/>
    <cellStyle name="40% - Énfasis6 2" xfId="529" xr:uid="{00000000-0005-0000-0000-00002C040000}"/>
    <cellStyle name="40% - Énfasis6 2 2" xfId="2610" xr:uid="{00000000-0005-0000-0000-00002D040000}"/>
    <cellStyle name="40% - Énfasis6 20" xfId="530" xr:uid="{00000000-0005-0000-0000-00002E040000}"/>
    <cellStyle name="40% - Énfasis6 20 2" xfId="2611" xr:uid="{00000000-0005-0000-0000-00002F040000}"/>
    <cellStyle name="40% - Énfasis6 21" xfId="531" xr:uid="{00000000-0005-0000-0000-000030040000}"/>
    <cellStyle name="40% - Énfasis6 21 2" xfId="2612" xr:uid="{00000000-0005-0000-0000-000031040000}"/>
    <cellStyle name="40% - Énfasis6 22" xfId="532" xr:uid="{00000000-0005-0000-0000-000032040000}"/>
    <cellStyle name="40% - Énfasis6 22 2" xfId="2613" xr:uid="{00000000-0005-0000-0000-000033040000}"/>
    <cellStyle name="40% - Énfasis6 23" xfId="533" xr:uid="{00000000-0005-0000-0000-000034040000}"/>
    <cellStyle name="40% - Énfasis6 23 2" xfId="2614" xr:uid="{00000000-0005-0000-0000-000035040000}"/>
    <cellStyle name="40% - Énfasis6 24" xfId="534" xr:uid="{00000000-0005-0000-0000-000036040000}"/>
    <cellStyle name="40% - Énfasis6 24 2" xfId="2615" xr:uid="{00000000-0005-0000-0000-000037040000}"/>
    <cellStyle name="40% - Énfasis6 25" xfId="535" xr:uid="{00000000-0005-0000-0000-000038040000}"/>
    <cellStyle name="40% - Énfasis6 25 2" xfId="2616" xr:uid="{00000000-0005-0000-0000-000039040000}"/>
    <cellStyle name="40% - Énfasis6 26" xfId="536" xr:uid="{00000000-0005-0000-0000-00003A040000}"/>
    <cellStyle name="40% - Énfasis6 26 2" xfId="2617" xr:uid="{00000000-0005-0000-0000-00003B040000}"/>
    <cellStyle name="40% - Énfasis6 27" xfId="537" xr:uid="{00000000-0005-0000-0000-00003C040000}"/>
    <cellStyle name="40% - Énfasis6 27 2" xfId="2618" xr:uid="{00000000-0005-0000-0000-00003D040000}"/>
    <cellStyle name="40% - Énfasis6 28" xfId="538" xr:uid="{00000000-0005-0000-0000-00003E040000}"/>
    <cellStyle name="40% - Énfasis6 28 2" xfId="2619" xr:uid="{00000000-0005-0000-0000-00003F040000}"/>
    <cellStyle name="40% - Énfasis6 29" xfId="539" xr:uid="{00000000-0005-0000-0000-000040040000}"/>
    <cellStyle name="40% - Énfasis6 29 2" xfId="2620" xr:uid="{00000000-0005-0000-0000-000041040000}"/>
    <cellStyle name="40% - Énfasis6 3" xfId="540" xr:uid="{00000000-0005-0000-0000-000042040000}"/>
    <cellStyle name="40% - Énfasis6 3 2" xfId="2621" xr:uid="{00000000-0005-0000-0000-000043040000}"/>
    <cellStyle name="40% - Énfasis6 30" xfId="541" xr:uid="{00000000-0005-0000-0000-000044040000}"/>
    <cellStyle name="40% - Énfasis6 30 2" xfId="2622" xr:uid="{00000000-0005-0000-0000-000045040000}"/>
    <cellStyle name="40% - Énfasis6 31" xfId="542" xr:uid="{00000000-0005-0000-0000-000046040000}"/>
    <cellStyle name="40% - Énfasis6 31 2" xfId="2623" xr:uid="{00000000-0005-0000-0000-000047040000}"/>
    <cellStyle name="40% - Énfasis6 32" xfId="543" xr:uid="{00000000-0005-0000-0000-000048040000}"/>
    <cellStyle name="40% - Énfasis6 32 2" xfId="2624" xr:uid="{00000000-0005-0000-0000-000049040000}"/>
    <cellStyle name="40% - Énfasis6 33" xfId="544" xr:uid="{00000000-0005-0000-0000-00004A040000}"/>
    <cellStyle name="40% - Énfasis6 33 2" xfId="2625" xr:uid="{00000000-0005-0000-0000-00004B040000}"/>
    <cellStyle name="40% - Énfasis6 34" xfId="545" xr:uid="{00000000-0005-0000-0000-00004C040000}"/>
    <cellStyle name="40% - Énfasis6 34 2" xfId="2626" xr:uid="{00000000-0005-0000-0000-00004D040000}"/>
    <cellStyle name="40% - Énfasis6 35" xfId="546" xr:uid="{00000000-0005-0000-0000-00004E040000}"/>
    <cellStyle name="40% - Énfasis6 35 2" xfId="2627" xr:uid="{00000000-0005-0000-0000-00004F040000}"/>
    <cellStyle name="40% - Énfasis6 36" xfId="547" xr:uid="{00000000-0005-0000-0000-000050040000}"/>
    <cellStyle name="40% - Énfasis6 36 2" xfId="2628" xr:uid="{00000000-0005-0000-0000-000051040000}"/>
    <cellStyle name="40% - Énfasis6 37" xfId="548" xr:uid="{00000000-0005-0000-0000-000052040000}"/>
    <cellStyle name="40% - Énfasis6 37 2" xfId="2629" xr:uid="{00000000-0005-0000-0000-000053040000}"/>
    <cellStyle name="40% - Énfasis6 38" xfId="549" xr:uid="{00000000-0005-0000-0000-000054040000}"/>
    <cellStyle name="40% - Énfasis6 38 2" xfId="2630" xr:uid="{00000000-0005-0000-0000-000055040000}"/>
    <cellStyle name="40% - Énfasis6 39" xfId="550" xr:uid="{00000000-0005-0000-0000-000056040000}"/>
    <cellStyle name="40% - Énfasis6 39 2" xfId="2631" xr:uid="{00000000-0005-0000-0000-000057040000}"/>
    <cellStyle name="40% - Énfasis6 4" xfId="551" xr:uid="{00000000-0005-0000-0000-000058040000}"/>
    <cellStyle name="40% - Énfasis6 4 2" xfId="2632" xr:uid="{00000000-0005-0000-0000-000059040000}"/>
    <cellStyle name="40% - Énfasis6 40" xfId="552" xr:uid="{00000000-0005-0000-0000-00005A040000}"/>
    <cellStyle name="40% - Énfasis6 40 2" xfId="2633" xr:uid="{00000000-0005-0000-0000-00005B040000}"/>
    <cellStyle name="40% - Énfasis6 41" xfId="553" xr:uid="{00000000-0005-0000-0000-00005C040000}"/>
    <cellStyle name="40% - Énfasis6 41 2" xfId="2634" xr:uid="{00000000-0005-0000-0000-00005D040000}"/>
    <cellStyle name="40% - Énfasis6 42" xfId="554" xr:uid="{00000000-0005-0000-0000-00005E040000}"/>
    <cellStyle name="40% - Énfasis6 42 2" xfId="2635" xr:uid="{00000000-0005-0000-0000-00005F040000}"/>
    <cellStyle name="40% - Énfasis6 43" xfId="555" xr:uid="{00000000-0005-0000-0000-000060040000}"/>
    <cellStyle name="40% - Énfasis6 43 2" xfId="2636" xr:uid="{00000000-0005-0000-0000-000061040000}"/>
    <cellStyle name="40% - Énfasis6 44" xfId="556" xr:uid="{00000000-0005-0000-0000-000062040000}"/>
    <cellStyle name="40% - Énfasis6 44 2" xfId="2637" xr:uid="{00000000-0005-0000-0000-000063040000}"/>
    <cellStyle name="40% - Énfasis6 45" xfId="557" xr:uid="{00000000-0005-0000-0000-000064040000}"/>
    <cellStyle name="40% - Énfasis6 45 2" xfId="2638" xr:uid="{00000000-0005-0000-0000-000065040000}"/>
    <cellStyle name="40% - Énfasis6 46" xfId="558" xr:uid="{00000000-0005-0000-0000-000066040000}"/>
    <cellStyle name="40% - Énfasis6 46 2" xfId="2639" xr:uid="{00000000-0005-0000-0000-000067040000}"/>
    <cellStyle name="40% - Énfasis6 47" xfId="559" xr:uid="{00000000-0005-0000-0000-000068040000}"/>
    <cellStyle name="40% - Énfasis6 47 2" xfId="2640" xr:uid="{00000000-0005-0000-0000-000069040000}"/>
    <cellStyle name="40% - Énfasis6 5" xfId="560" xr:uid="{00000000-0005-0000-0000-00006A040000}"/>
    <cellStyle name="40% - Énfasis6 5 2" xfId="2641" xr:uid="{00000000-0005-0000-0000-00006B040000}"/>
    <cellStyle name="40% - Énfasis6 6" xfId="561" xr:uid="{00000000-0005-0000-0000-00006C040000}"/>
    <cellStyle name="40% - Énfasis6 6 2" xfId="2642" xr:uid="{00000000-0005-0000-0000-00006D040000}"/>
    <cellStyle name="40% - Énfasis6 7" xfId="562" xr:uid="{00000000-0005-0000-0000-00006E040000}"/>
    <cellStyle name="40% - Énfasis6 7 2" xfId="2643" xr:uid="{00000000-0005-0000-0000-00006F040000}"/>
    <cellStyle name="40% - Énfasis6 8" xfId="563" xr:uid="{00000000-0005-0000-0000-000070040000}"/>
    <cellStyle name="40% - Énfasis6 8 2" xfId="2644" xr:uid="{00000000-0005-0000-0000-000071040000}"/>
    <cellStyle name="40% - Énfasis6 9" xfId="564" xr:uid="{00000000-0005-0000-0000-000072040000}"/>
    <cellStyle name="40% - Énfasis6 9 2" xfId="2645" xr:uid="{00000000-0005-0000-0000-000073040000}"/>
    <cellStyle name="60% - Énfasis1" xfId="2061" builtinId="32" customBuiltin="1"/>
    <cellStyle name="60% - Énfasis1 1" xfId="565" xr:uid="{00000000-0005-0000-0000-000075040000}"/>
    <cellStyle name="60% - Énfasis1 10" xfId="566" xr:uid="{00000000-0005-0000-0000-000076040000}"/>
    <cellStyle name="60% - Énfasis1 11" xfId="567" xr:uid="{00000000-0005-0000-0000-000077040000}"/>
    <cellStyle name="60% - Énfasis1 12" xfId="568" xr:uid="{00000000-0005-0000-0000-000078040000}"/>
    <cellStyle name="60% - Énfasis1 13" xfId="569" xr:uid="{00000000-0005-0000-0000-000079040000}"/>
    <cellStyle name="60% - Énfasis1 14" xfId="570" xr:uid="{00000000-0005-0000-0000-00007A040000}"/>
    <cellStyle name="60% - Énfasis1 15" xfId="571" xr:uid="{00000000-0005-0000-0000-00007B040000}"/>
    <cellStyle name="60% - Énfasis1 16" xfId="572" xr:uid="{00000000-0005-0000-0000-00007C040000}"/>
    <cellStyle name="60% - Énfasis1 17" xfId="573" xr:uid="{00000000-0005-0000-0000-00007D040000}"/>
    <cellStyle name="60% - Énfasis1 18" xfId="574" xr:uid="{00000000-0005-0000-0000-00007E040000}"/>
    <cellStyle name="60% - Énfasis1 19" xfId="575" xr:uid="{00000000-0005-0000-0000-00007F040000}"/>
    <cellStyle name="60% - Énfasis1 2" xfId="576" xr:uid="{00000000-0005-0000-0000-000080040000}"/>
    <cellStyle name="60% - Énfasis1 20" xfId="577" xr:uid="{00000000-0005-0000-0000-000081040000}"/>
    <cellStyle name="60% - Énfasis1 21" xfId="578" xr:uid="{00000000-0005-0000-0000-000082040000}"/>
    <cellStyle name="60% - Énfasis1 22" xfId="579" xr:uid="{00000000-0005-0000-0000-000083040000}"/>
    <cellStyle name="60% - Énfasis1 23" xfId="580" xr:uid="{00000000-0005-0000-0000-000084040000}"/>
    <cellStyle name="60% - Énfasis1 24" xfId="581" xr:uid="{00000000-0005-0000-0000-000085040000}"/>
    <cellStyle name="60% - Énfasis1 25" xfId="582" xr:uid="{00000000-0005-0000-0000-000086040000}"/>
    <cellStyle name="60% - Énfasis1 26" xfId="583" xr:uid="{00000000-0005-0000-0000-000087040000}"/>
    <cellStyle name="60% - Énfasis1 27" xfId="584" xr:uid="{00000000-0005-0000-0000-000088040000}"/>
    <cellStyle name="60% - Énfasis1 28" xfId="585" xr:uid="{00000000-0005-0000-0000-000089040000}"/>
    <cellStyle name="60% - Énfasis1 29" xfId="586" xr:uid="{00000000-0005-0000-0000-00008A040000}"/>
    <cellStyle name="60% - Énfasis1 3" xfId="587" xr:uid="{00000000-0005-0000-0000-00008B040000}"/>
    <cellStyle name="60% - Énfasis1 30" xfId="588" xr:uid="{00000000-0005-0000-0000-00008C040000}"/>
    <cellStyle name="60% - Énfasis1 31" xfId="589" xr:uid="{00000000-0005-0000-0000-00008D040000}"/>
    <cellStyle name="60% - Énfasis1 32" xfId="590" xr:uid="{00000000-0005-0000-0000-00008E040000}"/>
    <cellStyle name="60% - Énfasis1 33" xfId="591" xr:uid="{00000000-0005-0000-0000-00008F040000}"/>
    <cellStyle name="60% - Énfasis1 34" xfId="592" xr:uid="{00000000-0005-0000-0000-000090040000}"/>
    <cellStyle name="60% - Énfasis1 35" xfId="593" xr:uid="{00000000-0005-0000-0000-000091040000}"/>
    <cellStyle name="60% - Énfasis1 36" xfId="594" xr:uid="{00000000-0005-0000-0000-000092040000}"/>
    <cellStyle name="60% - Énfasis1 37" xfId="595" xr:uid="{00000000-0005-0000-0000-000093040000}"/>
    <cellStyle name="60% - Énfasis1 38" xfId="596" xr:uid="{00000000-0005-0000-0000-000094040000}"/>
    <cellStyle name="60% - Énfasis1 38 2" xfId="2646" xr:uid="{00000000-0005-0000-0000-000095040000}"/>
    <cellStyle name="60% - Énfasis1 39" xfId="597" xr:uid="{00000000-0005-0000-0000-000096040000}"/>
    <cellStyle name="60% - Énfasis1 39 2" xfId="2647" xr:uid="{00000000-0005-0000-0000-000097040000}"/>
    <cellStyle name="60% - Énfasis1 4" xfId="598" xr:uid="{00000000-0005-0000-0000-000098040000}"/>
    <cellStyle name="60% - Énfasis1 40" xfId="599" xr:uid="{00000000-0005-0000-0000-000099040000}"/>
    <cellStyle name="60% - Énfasis1 40 2" xfId="2648" xr:uid="{00000000-0005-0000-0000-00009A040000}"/>
    <cellStyle name="60% - Énfasis1 41" xfId="600" xr:uid="{00000000-0005-0000-0000-00009B040000}"/>
    <cellStyle name="60% - Énfasis1 41 2" xfId="2649" xr:uid="{00000000-0005-0000-0000-00009C040000}"/>
    <cellStyle name="60% - Énfasis1 42" xfId="601" xr:uid="{00000000-0005-0000-0000-00009D040000}"/>
    <cellStyle name="60% - Énfasis1 42 2" xfId="2650" xr:uid="{00000000-0005-0000-0000-00009E040000}"/>
    <cellStyle name="60% - Énfasis1 43" xfId="602" xr:uid="{00000000-0005-0000-0000-00009F040000}"/>
    <cellStyle name="60% - Énfasis1 43 2" xfId="2651" xr:uid="{00000000-0005-0000-0000-0000A0040000}"/>
    <cellStyle name="60% - Énfasis1 44" xfId="603" xr:uid="{00000000-0005-0000-0000-0000A1040000}"/>
    <cellStyle name="60% - Énfasis1 44 2" xfId="2652" xr:uid="{00000000-0005-0000-0000-0000A2040000}"/>
    <cellStyle name="60% - Énfasis1 45" xfId="604" xr:uid="{00000000-0005-0000-0000-0000A3040000}"/>
    <cellStyle name="60% - Énfasis1 45 2" xfId="2653" xr:uid="{00000000-0005-0000-0000-0000A4040000}"/>
    <cellStyle name="60% - Énfasis1 46" xfId="605" xr:uid="{00000000-0005-0000-0000-0000A5040000}"/>
    <cellStyle name="60% - Énfasis1 46 2" xfId="2654" xr:uid="{00000000-0005-0000-0000-0000A6040000}"/>
    <cellStyle name="60% - Énfasis1 47" xfId="606" xr:uid="{00000000-0005-0000-0000-0000A7040000}"/>
    <cellStyle name="60% - Énfasis1 5" xfId="607" xr:uid="{00000000-0005-0000-0000-0000A8040000}"/>
    <cellStyle name="60% - Énfasis1 6" xfId="608" xr:uid="{00000000-0005-0000-0000-0000A9040000}"/>
    <cellStyle name="60% - Énfasis1 7" xfId="609" xr:uid="{00000000-0005-0000-0000-0000AA040000}"/>
    <cellStyle name="60% - Énfasis1 8" xfId="610" xr:uid="{00000000-0005-0000-0000-0000AB040000}"/>
    <cellStyle name="60% - Énfasis1 9" xfId="611" xr:uid="{00000000-0005-0000-0000-0000AC040000}"/>
    <cellStyle name="60% - Énfasis2" xfId="2065" builtinId="36" customBuiltin="1"/>
    <cellStyle name="60% - Énfasis2 1" xfId="612" xr:uid="{00000000-0005-0000-0000-0000AE040000}"/>
    <cellStyle name="60% - Énfasis2 10" xfId="613" xr:uid="{00000000-0005-0000-0000-0000AF040000}"/>
    <cellStyle name="60% - Énfasis2 11" xfId="614" xr:uid="{00000000-0005-0000-0000-0000B0040000}"/>
    <cellStyle name="60% - Énfasis2 12" xfId="615" xr:uid="{00000000-0005-0000-0000-0000B1040000}"/>
    <cellStyle name="60% - Énfasis2 13" xfId="616" xr:uid="{00000000-0005-0000-0000-0000B2040000}"/>
    <cellStyle name="60% - Énfasis2 14" xfId="617" xr:uid="{00000000-0005-0000-0000-0000B3040000}"/>
    <cellStyle name="60% - Énfasis2 15" xfId="618" xr:uid="{00000000-0005-0000-0000-0000B4040000}"/>
    <cellStyle name="60% - Énfasis2 16" xfId="619" xr:uid="{00000000-0005-0000-0000-0000B5040000}"/>
    <cellStyle name="60% - Énfasis2 17" xfId="620" xr:uid="{00000000-0005-0000-0000-0000B6040000}"/>
    <cellStyle name="60% - Énfasis2 18" xfId="621" xr:uid="{00000000-0005-0000-0000-0000B7040000}"/>
    <cellStyle name="60% - Énfasis2 19" xfId="622" xr:uid="{00000000-0005-0000-0000-0000B8040000}"/>
    <cellStyle name="60% - Énfasis2 2" xfId="623" xr:uid="{00000000-0005-0000-0000-0000B9040000}"/>
    <cellStyle name="60% - Énfasis2 20" xfId="624" xr:uid="{00000000-0005-0000-0000-0000BA040000}"/>
    <cellStyle name="60% - Énfasis2 21" xfId="625" xr:uid="{00000000-0005-0000-0000-0000BB040000}"/>
    <cellStyle name="60% - Énfasis2 22" xfId="626" xr:uid="{00000000-0005-0000-0000-0000BC040000}"/>
    <cellStyle name="60% - Énfasis2 23" xfId="627" xr:uid="{00000000-0005-0000-0000-0000BD040000}"/>
    <cellStyle name="60% - Énfasis2 24" xfId="628" xr:uid="{00000000-0005-0000-0000-0000BE040000}"/>
    <cellStyle name="60% - Énfasis2 25" xfId="629" xr:uid="{00000000-0005-0000-0000-0000BF040000}"/>
    <cellStyle name="60% - Énfasis2 26" xfId="630" xr:uid="{00000000-0005-0000-0000-0000C0040000}"/>
    <cellStyle name="60% - Énfasis2 27" xfId="631" xr:uid="{00000000-0005-0000-0000-0000C1040000}"/>
    <cellStyle name="60% - Énfasis2 28" xfId="632" xr:uid="{00000000-0005-0000-0000-0000C2040000}"/>
    <cellStyle name="60% - Énfasis2 29" xfId="633" xr:uid="{00000000-0005-0000-0000-0000C3040000}"/>
    <cellStyle name="60% - Énfasis2 3" xfId="634" xr:uid="{00000000-0005-0000-0000-0000C4040000}"/>
    <cellStyle name="60% - Énfasis2 30" xfId="635" xr:uid="{00000000-0005-0000-0000-0000C5040000}"/>
    <cellStyle name="60% - Énfasis2 31" xfId="636" xr:uid="{00000000-0005-0000-0000-0000C6040000}"/>
    <cellStyle name="60% - Énfasis2 32" xfId="637" xr:uid="{00000000-0005-0000-0000-0000C7040000}"/>
    <cellStyle name="60% - Énfasis2 33" xfId="638" xr:uid="{00000000-0005-0000-0000-0000C8040000}"/>
    <cellStyle name="60% - Énfasis2 34" xfId="639" xr:uid="{00000000-0005-0000-0000-0000C9040000}"/>
    <cellStyle name="60% - Énfasis2 35" xfId="640" xr:uid="{00000000-0005-0000-0000-0000CA040000}"/>
    <cellStyle name="60% - Énfasis2 36" xfId="641" xr:uid="{00000000-0005-0000-0000-0000CB040000}"/>
    <cellStyle name="60% - Énfasis2 37" xfId="642" xr:uid="{00000000-0005-0000-0000-0000CC040000}"/>
    <cellStyle name="60% - Énfasis2 38" xfId="643" xr:uid="{00000000-0005-0000-0000-0000CD040000}"/>
    <cellStyle name="60% - Énfasis2 38 2" xfId="2655" xr:uid="{00000000-0005-0000-0000-0000CE040000}"/>
    <cellStyle name="60% - Énfasis2 39" xfId="644" xr:uid="{00000000-0005-0000-0000-0000CF040000}"/>
    <cellStyle name="60% - Énfasis2 39 2" xfId="2656" xr:uid="{00000000-0005-0000-0000-0000D0040000}"/>
    <cellStyle name="60% - Énfasis2 4" xfId="645" xr:uid="{00000000-0005-0000-0000-0000D1040000}"/>
    <cellStyle name="60% - Énfasis2 40" xfId="646" xr:uid="{00000000-0005-0000-0000-0000D2040000}"/>
    <cellStyle name="60% - Énfasis2 40 2" xfId="2657" xr:uid="{00000000-0005-0000-0000-0000D3040000}"/>
    <cellStyle name="60% - Énfasis2 41" xfId="647" xr:uid="{00000000-0005-0000-0000-0000D4040000}"/>
    <cellStyle name="60% - Énfasis2 41 2" xfId="2658" xr:uid="{00000000-0005-0000-0000-0000D5040000}"/>
    <cellStyle name="60% - Énfasis2 42" xfId="648" xr:uid="{00000000-0005-0000-0000-0000D6040000}"/>
    <cellStyle name="60% - Énfasis2 42 2" xfId="2659" xr:uid="{00000000-0005-0000-0000-0000D7040000}"/>
    <cellStyle name="60% - Énfasis2 43" xfId="649" xr:uid="{00000000-0005-0000-0000-0000D8040000}"/>
    <cellStyle name="60% - Énfasis2 43 2" xfId="2660" xr:uid="{00000000-0005-0000-0000-0000D9040000}"/>
    <cellStyle name="60% - Énfasis2 44" xfId="650" xr:uid="{00000000-0005-0000-0000-0000DA040000}"/>
    <cellStyle name="60% - Énfasis2 44 2" xfId="2661" xr:uid="{00000000-0005-0000-0000-0000DB040000}"/>
    <cellStyle name="60% - Énfasis2 45" xfId="651" xr:uid="{00000000-0005-0000-0000-0000DC040000}"/>
    <cellStyle name="60% - Énfasis2 45 2" xfId="2662" xr:uid="{00000000-0005-0000-0000-0000DD040000}"/>
    <cellStyle name="60% - Énfasis2 46" xfId="652" xr:uid="{00000000-0005-0000-0000-0000DE040000}"/>
    <cellStyle name="60% - Énfasis2 46 2" xfId="2663" xr:uid="{00000000-0005-0000-0000-0000DF040000}"/>
    <cellStyle name="60% - Énfasis2 47" xfId="653" xr:uid="{00000000-0005-0000-0000-0000E0040000}"/>
    <cellStyle name="60% - Énfasis2 5" xfId="654" xr:uid="{00000000-0005-0000-0000-0000E1040000}"/>
    <cellStyle name="60% - Énfasis2 6" xfId="655" xr:uid="{00000000-0005-0000-0000-0000E2040000}"/>
    <cellStyle name="60% - Énfasis2 7" xfId="656" xr:uid="{00000000-0005-0000-0000-0000E3040000}"/>
    <cellStyle name="60% - Énfasis2 8" xfId="657" xr:uid="{00000000-0005-0000-0000-0000E4040000}"/>
    <cellStyle name="60% - Énfasis2 9" xfId="658" xr:uid="{00000000-0005-0000-0000-0000E5040000}"/>
    <cellStyle name="60% - Énfasis3" xfId="2069" builtinId="40" customBuiltin="1"/>
    <cellStyle name="60% - Énfasis3 1" xfId="659" xr:uid="{00000000-0005-0000-0000-0000E7040000}"/>
    <cellStyle name="60% - Énfasis3 10" xfId="660" xr:uid="{00000000-0005-0000-0000-0000E8040000}"/>
    <cellStyle name="60% - Énfasis3 11" xfId="661" xr:uid="{00000000-0005-0000-0000-0000E9040000}"/>
    <cellStyle name="60% - Énfasis3 12" xfId="662" xr:uid="{00000000-0005-0000-0000-0000EA040000}"/>
    <cellStyle name="60% - Énfasis3 13" xfId="663" xr:uid="{00000000-0005-0000-0000-0000EB040000}"/>
    <cellStyle name="60% - Énfasis3 14" xfId="664" xr:uid="{00000000-0005-0000-0000-0000EC040000}"/>
    <cellStyle name="60% - Énfasis3 15" xfId="665" xr:uid="{00000000-0005-0000-0000-0000ED040000}"/>
    <cellStyle name="60% - Énfasis3 16" xfId="666" xr:uid="{00000000-0005-0000-0000-0000EE040000}"/>
    <cellStyle name="60% - Énfasis3 17" xfId="667" xr:uid="{00000000-0005-0000-0000-0000EF040000}"/>
    <cellStyle name="60% - Énfasis3 18" xfId="668" xr:uid="{00000000-0005-0000-0000-0000F0040000}"/>
    <cellStyle name="60% - Énfasis3 19" xfId="669" xr:uid="{00000000-0005-0000-0000-0000F1040000}"/>
    <cellStyle name="60% - Énfasis3 2" xfId="670" xr:uid="{00000000-0005-0000-0000-0000F2040000}"/>
    <cellStyle name="60% - Énfasis3 20" xfId="671" xr:uid="{00000000-0005-0000-0000-0000F3040000}"/>
    <cellStyle name="60% - Énfasis3 21" xfId="672" xr:uid="{00000000-0005-0000-0000-0000F4040000}"/>
    <cellStyle name="60% - Énfasis3 22" xfId="673" xr:uid="{00000000-0005-0000-0000-0000F5040000}"/>
    <cellStyle name="60% - Énfasis3 23" xfId="674" xr:uid="{00000000-0005-0000-0000-0000F6040000}"/>
    <cellStyle name="60% - Énfasis3 24" xfId="675" xr:uid="{00000000-0005-0000-0000-0000F7040000}"/>
    <cellStyle name="60% - Énfasis3 25" xfId="676" xr:uid="{00000000-0005-0000-0000-0000F8040000}"/>
    <cellStyle name="60% - Énfasis3 26" xfId="677" xr:uid="{00000000-0005-0000-0000-0000F9040000}"/>
    <cellStyle name="60% - Énfasis3 27" xfId="678" xr:uid="{00000000-0005-0000-0000-0000FA040000}"/>
    <cellStyle name="60% - Énfasis3 28" xfId="679" xr:uid="{00000000-0005-0000-0000-0000FB040000}"/>
    <cellStyle name="60% - Énfasis3 29" xfId="680" xr:uid="{00000000-0005-0000-0000-0000FC040000}"/>
    <cellStyle name="60% - Énfasis3 3" xfId="681" xr:uid="{00000000-0005-0000-0000-0000FD040000}"/>
    <cellStyle name="60% - Énfasis3 30" xfId="682" xr:uid="{00000000-0005-0000-0000-0000FE040000}"/>
    <cellStyle name="60% - Énfasis3 31" xfId="683" xr:uid="{00000000-0005-0000-0000-0000FF040000}"/>
    <cellStyle name="60% - Énfasis3 32" xfId="684" xr:uid="{00000000-0005-0000-0000-000000050000}"/>
    <cellStyle name="60% - Énfasis3 33" xfId="685" xr:uid="{00000000-0005-0000-0000-000001050000}"/>
    <cellStyle name="60% - Énfasis3 34" xfId="686" xr:uid="{00000000-0005-0000-0000-000002050000}"/>
    <cellStyle name="60% - Énfasis3 35" xfId="687" xr:uid="{00000000-0005-0000-0000-000003050000}"/>
    <cellStyle name="60% - Énfasis3 36" xfId="688" xr:uid="{00000000-0005-0000-0000-000004050000}"/>
    <cellStyle name="60% - Énfasis3 37" xfId="689" xr:uid="{00000000-0005-0000-0000-000005050000}"/>
    <cellStyle name="60% - Énfasis3 38" xfId="690" xr:uid="{00000000-0005-0000-0000-000006050000}"/>
    <cellStyle name="60% - Énfasis3 38 2" xfId="2664" xr:uid="{00000000-0005-0000-0000-000007050000}"/>
    <cellStyle name="60% - Énfasis3 39" xfId="691" xr:uid="{00000000-0005-0000-0000-000008050000}"/>
    <cellStyle name="60% - Énfasis3 39 2" xfId="2665" xr:uid="{00000000-0005-0000-0000-000009050000}"/>
    <cellStyle name="60% - Énfasis3 4" xfId="692" xr:uid="{00000000-0005-0000-0000-00000A050000}"/>
    <cellStyle name="60% - Énfasis3 40" xfId="693" xr:uid="{00000000-0005-0000-0000-00000B050000}"/>
    <cellStyle name="60% - Énfasis3 40 2" xfId="2666" xr:uid="{00000000-0005-0000-0000-00000C050000}"/>
    <cellStyle name="60% - Énfasis3 41" xfId="694" xr:uid="{00000000-0005-0000-0000-00000D050000}"/>
    <cellStyle name="60% - Énfasis3 41 2" xfId="2667" xr:uid="{00000000-0005-0000-0000-00000E050000}"/>
    <cellStyle name="60% - Énfasis3 42" xfId="695" xr:uid="{00000000-0005-0000-0000-00000F050000}"/>
    <cellStyle name="60% - Énfasis3 42 2" xfId="2668" xr:uid="{00000000-0005-0000-0000-000010050000}"/>
    <cellStyle name="60% - Énfasis3 43" xfId="696" xr:uid="{00000000-0005-0000-0000-000011050000}"/>
    <cellStyle name="60% - Énfasis3 43 2" xfId="2669" xr:uid="{00000000-0005-0000-0000-000012050000}"/>
    <cellStyle name="60% - Énfasis3 44" xfId="697" xr:uid="{00000000-0005-0000-0000-000013050000}"/>
    <cellStyle name="60% - Énfasis3 44 2" xfId="2670" xr:uid="{00000000-0005-0000-0000-000014050000}"/>
    <cellStyle name="60% - Énfasis3 45" xfId="698" xr:uid="{00000000-0005-0000-0000-000015050000}"/>
    <cellStyle name="60% - Énfasis3 45 2" xfId="2671" xr:uid="{00000000-0005-0000-0000-000016050000}"/>
    <cellStyle name="60% - Énfasis3 46" xfId="699" xr:uid="{00000000-0005-0000-0000-000017050000}"/>
    <cellStyle name="60% - Énfasis3 46 2" xfId="2672" xr:uid="{00000000-0005-0000-0000-000018050000}"/>
    <cellStyle name="60% - Énfasis3 47" xfId="700" xr:uid="{00000000-0005-0000-0000-000019050000}"/>
    <cellStyle name="60% - Énfasis3 5" xfId="701" xr:uid="{00000000-0005-0000-0000-00001A050000}"/>
    <cellStyle name="60% - Énfasis3 6" xfId="702" xr:uid="{00000000-0005-0000-0000-00001B050000}"/>
    <cellStyle name="60% - Énfasis3 7" xfId="703" xr:uid="{00000000-0005-0000-0000-00001C050000}"/>
    <cellStyle name="60% - Énfasis3 8" xfId="704" xr:uid="{00000000-0005-0000-0000-00001D050000}"/>
    <cellStyle name="60% - Énfasis3 9" xfId="705" xr:uid="{00000000-0005-0000-0000-00001E050000}"/>
    <cellStyle name="60% - Énfasis4" xfId="2073" builtinId="44" customBuiltin="1"/>
    <cellStyle name="60% - Énfasis4 1" xfId="706" xr:uid="{00000000-0005-0000-0000-000020050000}"/>
    <cellStyle name="60% - Énfasis4 10" xfId="707" xr:uid="{00000000-0005-0000-0000-000021050000}"/>
    <cellStyle name="60% - Énfasis4 11" xfId="708" xr:uid="{00000000-0005-0000-0000-000022050000}"/>
    <cellStyle name="60% - Énfasis4 12" xfId="709" xr:uid="{00000000-0005-0000-0000-000023050000}"/>
    <cellStyle name="60% - Énfasis4 13" xfId="710" xr:uid="{00000000-0005-0000-0000-000024050000}"/>
    <cellStyle name="60% - Énfasis4 14" xfId="711" xr:uid="{00000000-0005-0000-0000-000025050000}"/>
    <cellStyle name="60% - Énfasis4 15" xfId="712" xr:uid="{00000000-0005-0000-0000-000026050000}"/>
    <cellStyle name="60% - Énfasis4 16" xfId="713" xr:uid="{00000000-0005-0000-0000-000027050000}"/>
    <cellStyle name="60% - Énfasis4 17" xfId="714" xr:uid="{00000000-0005-0000-0000-000028050000}"/>
    <cellStyle name="60% - Énfasis4 18" xfId="715" xr:uid="{00000000-0005-0000-0000-000029050000}"/>
    <cellStyle name="60% - Énfasis4 19" xfId="716" xr:uid="{00000000-0005-0000-0000-00002A050000}"/>
    <cellStyle name="60% - Énfasis4 2" xfId="717" xr:uid="{00000000-0005-0000-0000-00002B050000}"/>
    <cellStyle name="60% - Énfasis4 20" xfId="718" xr:uid="{00000000-0005-0000-0000-00002C050000}"/>
    <cellStyle name="60% - Énfasis4 21" xfId="719" xr:uid="{00000000-0005-0000-0000-00002D050000}"/>
    <cellStyle name="60% - Énfasis4 22" xfId="720" xr:uid="{00000000-0005-0000-0000-00002E050000}"/>
    <cellStyle name="60% - Énfasis4 23" xfId="721" xr:uid="{00000000-0005-0000-0000-00002F050000}"/>
    <cellStyle name="60% - Énfasis4 24" xfId="722" xr:uid="{00000000-0005-0000-0000-000030050000}"/>
    <cellStyle name="60% - Énfasis4 25" xfId="723" xr:uid="{00000000-0005-0000-0000-000031050000}"/>
    <cellStyle name="60% - Énfasis4 26" xfId="724" xr:uid="{00000000-0005-0000-0000-000032050000}"/>
    <cellStyle name="60% - Énfasis4 27" xfId="725" xr:uid="{00000000-0005-0000-0000-000033050000}"/>
    <cellStyle name="60% - Énfasis4 28" xfId="726" xr:uid="{00000000-0005-0000-0000-000034050000}"/>
    <cellStyle name="60% - Énfasis4 29" xfId="727" xr:uid="{00000000-0005-0000-0000-000035050000}"/>
    <cellStyle name="60% - Énfasis4 3" xfId="728" xr:uid="{00000000-0005-0000-0000-000036050000}"/>
    <cellStyle name="60% - Énfasis4 30" xfId="729" xr:uid="{00000000-0005-0000-0000-000037050000}"/>
    <cellStyle name="60% - Énfasis4 31" xfId="730" xr:uid="{00000000-0005-0000-0000-000038050000}"/>
    <cellStyle name="60% - Énfasis4 32" xfId="731" xr:uid="{00000000-0005-0000-0000-000039050000}"/>
    <cellStyle name="60% - Énfasis4 33" xfId="732" xr:uid="{00000000-0005-0000-0000-00003A050000}"/>
    <cellStyle name="60% - Énfasis4 34" xfId="733" xr:uid="{00000000-0005-0000-0000-00003B050000}"/>
    <cellStyle name="60% - Énfasis4 35" xfId="734" xr:uid="{00000000-0005-0000-0000-00003C050000}"/>
    <cellStyle name="60% - Énfasis4 36" xfId="735" xr:uid="{00000000-0005-0000-0000-00003D050000}"/>
    <cellStyle name="60% - Énfasis4 37" xfId="736" xr:uid="{00000000-0005-0000-0000-00003E050000}"/>
    <cellStyle name="60% - Énfasis4 38" xfId="737" xr:uid="{00000000-0005-0000-0000-00003F050000}"/>
    <cellStyle name="60% - Énfasis4 38 2" xfId="2673" xr:uid="{00000000-0005-0000-0000-000040050000}"/>
    <cellStyle name="60% - Énfasis4 39" xfId="738" xr:uid="{00000000-0005-0000-0000-000041050000}"/>
    <cellStyle name="60% - Énfasis4 39 2" xfId="2674" xr:uid="{00000000-0005-0000-0000-000042050000}"/>
    <cellStyle name="60% - Énfasis4 4" xfId="739" xr:uid="{00000000-0005-0000-0000-000043050000}"/>
    <cellStyle name="60% - Énfasis4 40" xfId="740" xr:uid="{00000000-0005-0000-0000-000044050000}"/>
    <cellStyle name="60% - Énfasis4 40 2" xfId="2675" xr:uid="{00000000-0005-0000-0000-000045050000}"/>
    <cellStyle name="60% - Énfasis4 41" xfId="741" xr:uid="{00000000-0005-0000-0000-000046050000}"/>
    <cellStyle name="60% - Énfasis4 41 2" xfId="2676" xr:uid="{00000000-0005-0000-0000-000047050000}"/>
    <cellStyle name="60% - Énfasis4 42" xfId="742" xr:uid="{00000000-0005-0000-0000-000048050000}"/>
    <cellStyle name="60% - Énfasis4 42 2" xfId="2677" xr:uid="{00000000-0005-0000-0000-000049050000}"/>
    <cellStyle name="60% - Énfasis4 43" xfId="743" xr:uid="{00000000-0005-0000-0000-00004A050000}"/>
    <cellStyle name="60% - Énfasis4 43 2" xfId="2678" xr:uid="{00000000-0005-0000-0000-00004B050000}"/>
    <cellStyle name="60% - Énfasis4 44" xfId="744" xr:uid="{00000000-0005-0000-0000-00004C050000}"/>
    <cellStyle name="60% - Énfasis4 44 2" xfId="2679" xr:uid="{00000000-0005-0000-0000-00004D050000}"/>
    <cellStyle name="60% - Énfasis4 45" xfId="745" xr:uid="{00000000-0005-0000-0000-00004E050000}"/>
    <cellStyle name="60% - Énfasis4 45 2" xfId="2680" xr:uid="{00000000-0005-0000-0000-00004F050000}"/>
    <cellStyle name="60% - Énfasis4 46" xfId="746" xr:uid="{00000000-0005-0000-0000-000050050000}"/>
    <cellStyle name="60% - Énfasis4 46 2" xfId="2681" xr:uid="{00000000-0005-0000-0000-000051050000}"/>
    <cellStyle name="60% - Énfasis4 47" xfId="747" xr:uid="{00000000-0005-0000-0000-000052050000}"/>
    <cellStyle name="60% - Énfasis4 5" xfId="748" xr:uid="{00000000-0005-0000-0000-000053050000}"/>
    <cellStyle name="60% - Énfasis4 6" xfId="749" xr:uid="{00000000-0005-0000-0000-000054050000}"/>
    <cellStyle name="60% - Énfasis4 7" xfId="750" xr:uid="{00000000-0005-0000-0000-000055050000}"/>
    <cellStyle name="60% - Énfasis4 8" xfId="751" xr:uid="{00000000-0005-0000-0000-000056050000}"/>
    <cellStyle name="60% - Énfasis4 9" xfId="752" xr:uid="{00000000-0005-0000-0000-000057050000}"/>
    <cellStyle name="60% - Énfasis5" xfId="2077" builtinId="48" customBuiltin="1"/>
    <cellStyle name="60% - Énfasis5 1" xfId="753" xr:uid="{00000000-0005-0000-0000-000059050000}"/>
    <cellStyle name="60% - Énfasis5 10" xfId="754" xr:uid="{00000000-0005-0000-0000-00005A050000}"/>
    <cellStyle name="60% - Énfasis5 11" xfId="755" xr:uid="{00000000-0005-0000-0000-00005B050000}"/>
    <cellStyle name="60% - Énfasis5 12" xfId="756" xr:uid="{00000000-0005-0000-0000-00005C050000}"/>
    <cellStyle name="60% - Énfasis5 13" xfId="757" xr:uid="{00000000-0005-0000-0000-00005D050000}"/>
    <cellStyle name="60% - Énfasis5 14" xfId="758" xr:uid="{00000000-0005-0000-0000-00005E050000}"/>
    <cellStyle name="60% - Énfasis5 15" xfId="759" xr:uid="{00000000-0005-0000-0000-00005F050000}"/>
    <cellStyle name="60% - Énfasis5 16" xfId="760" xr:uid="{00000000-0005-0000-0000-000060050000}"/>
    <cellStyle name="60% - Énfasis5 17" xfId="761" xr:uid="{00000000-0005-0000-0000-000061050000}"/>
    <cellStyle name="60% - Énfasis5 18" xfId="762" xr:uid="{00000000-0005-0000-0000-000062050000}"/>
    <cellStyle name="60% - Énfasis5 19" xfId="763" xr:uid="{00000000-0005-0000-0000-000063050000}"/>
    <cellStyle name="60% - Énfasis5 2" xfId="764" xr:uid="{00000000-0005-0000-0000-000064050000}"/>
    <cellStyle name="60% - Énfasis5 20" xfId="765" xr:uid="{00000000-0005-0000-0000-000065050000}"/>
    <cellStyle name="60% - Énfasis5 21" xfId="766" xr:uid="{00000000-0005-0000-0000-000066050000}"/>
    <cellStyle name="60% - Énfasis5 22" xfId="767" xr:uid="{00000000-0005-0000-0000-000067050000}"/>
    <cellStyle name="60% - Énfasis5 23" xfId="768" xr:uid="{00000000-0005-0000-0000-000068050000}"/>
    <cellStyle name="60% - Énfasis5 24" xfId="769" xr:uid="{00000000-0005-0000-0000-000069050000}"/>
    <cellStyle name="60% - Énfasis5 25" xfId="770" xr:uid="{00000000-0005-0000-0000-00006A050000}"/>
    <cellStyle name="60% - Énfasis5 26" xfId="771" xr:uid="{00000000-0005-0000-0000-00006B050000}"/>
    <cellStyle name="60% - Énfasis5 27" xfId="772" xr:uid="{00000000-0005-0000-0000-00006C050000}"/>
    <cellStyle name="60% - Énfasis5 28" xfId="773" xr:uid="{00000000-0005-0000-0000-00006D050000}"/>
    <cellStyle name="60% - Énfasis5 29" xfId="774" xr:uid="{00000000-0005-0000-0000-00006E050000}"/>
    <cellStyle name="60% - Énfasis5 3" xfId="775" xr:uid="{00000000-0005-0000-0000-00006F050000}"/>
    <cellStyle name="60% - Énfasis5 30" xfId="776" xr:uid="{00000000-0005-0000-0000-000070050000}"/>
    <cellStyle name="60% - Énfasis5 31" xfId="777" xr:uid="{00000000-0005-0000-0000-000071050000}"/>
    <cellStyle name="60% - Énfasis5 32" xfId="778" xr:uid="{00000000-0005-0000-0000-000072050000}"/>
    <cellStyle name="60% - Énfasis5 33" xfId="779" xr:uid="{00000000-0005-0000-0000-000073050000}"/>
    <cellStyle name="60% - Énfasis5 34" xfId="780" xr:uid="{00000000-0005-0000-0000-000074050000}"/>
    <cellStyle name="60% - Énfasis5 35" xfId="781" xr:uid="{00000000-0005-0000-0000-000075050000}"/>
    <cellStyle name="60% - Énfasis5 36" xfId="782" xr:uid="{00000000-0005-0000-0000-000076050000}"/>
    <cellStyle name="60% - Énfasis5 37" xfId="783" xr:uid="{00000000-0005-0000-0000-000077050000}"/>
    <cellStyle name="60% - Énfasis5 38" xfId="784" xr:uid="{00000000-0005-0000-0000-000078050000}"/>
    <cellStyle name="60% - Énfasis5 38 2" xfId="2682" xr:uid="{00000000-0005-0000-0000-000079050000}"/>
    <cellStyle name="60% - Énfasis5 39" xfId="785" xr:uid="{00000000-0005-0000-0000-00007A050000}"/>
    <cellStyle name="60% - Énfasis5 39 2" xfId="2683" xr:uid="{00000000-0005-0000-0000-00007B050000}"/>
    <cellStyle name="60% - Énfasis5 4" xfId="786" xr:uid="{00000000-0005-0000-0000-00007C050000}"/>
    <cellStyle name="60% - Énfasis5 40" xfId="787" xr:uid="{00000000-0005-0000-0000-00007D050000}"/>
    <cellStyle name="60% - Énfasis5 40 2" xfId="2684" xr:uid="{00000000-0005-0000-0000-00007E050000}"/>
    <cellStyle name="60% - Énfasis5 41" xfId="788" xr:uid="{00000000-0005-0000-0000-00007F050000}"/>
    <cellStyle name="60% - Énfasis5 41 2" xfId="2685" xr:uid="{00000000-0005-0000-0000-000080050000}"/>
    <cellStyle name="60% - Énfasis5 42" xfId="789" xr:uid="{00000000-0005-0000-0000-000081050000}"/>
    <cellStyle name="60% - Énfasis5 42 2" xfId="2686" xr:uid="{00000000-0005-0000-0000-000082050000}"/>
    <cellStyle name="60% - Énfasis5 43" xfId="790" xr:uid="{00000000-0005-0000-0000-000083050000}"/>
    <cellStyle name="60% - Énfasis5 43 2" xfId="2687" xr:uid="{00000000-0005-0000-0000-000084050000}"/>
    <cellStyle name="60% - Énfasis5 44" xfId="791" xr:uid="{00000000-0005-0000-0000-000085050000}"/>
    <cellStyle name="60% - Énfasis5 44 2" xfId="2688" xr:uid="{00000000-0005-0000-0000-000086050000}"/>
    <cellStyle name="60% - Énfasis5 45" xfId="792" xr:uid="{00000000-0005-0000-0000-000087050000}"/>
    <cellStyle name="60% - Énfasis5 45 2" xfId="2689" xr:uid="{00000000-0005-0000-0000-000088050000}"/>
    <cellStyle name="60% - Énfasis5 46" xfId="793" xr:uid="{00000000-0005-0000-0000-000089050000}"/>
    <cellStyle name="60% - Énfasis5 46 2" xfId="2690" xr:uid="{00000000-0005-0000-0000-00008A050000}"/>
    <cellStyle name="60% - Énfasis5 47" xfId="794" xr:uid="{00000000-0005-0000-0000-00008B050000}"/>
    <cellStyle name="60% - Énfasis5 5" xfId="795" xr:uid="{00000000-0005-0000-0000-00008C050000}"/>
    <cellStyle name="60% - Énfasis5 6" xfId="796" xr:uid="{00000000-0005-0000-0000-00008D050000}"/>
    <cellStyle name="60% - Énfasis5 7" xfId="797" xr:uid="{00000000-0005-0000-0000-00008E050000}"/>
    <cellStyle name="60% - Énfasis5 8" xfId="798" xr:uid="{00000000-0005-0000-0000-00008F050000}"/>
    <cellStyle name="60% - Énfasis5 9" xfId="799" xr:uid="{00000000-0005-0000-0000-000090050000}"/>
    <cellStyle name="60% - Énfasis6" xfId="2081" builtinId="52" customBuiltin="1"/>
    <cellStyle name="60% - Énfasis6 1" xfId="800" xr:uid="{00000000-0005-0000-0000-000092050000}"/>
    <cellStyle name="60% - Énfasis6 10" xfId="801" xr:uid="{00000000-0005-0000-0000-000093050000}"/>
    <cellStyle name="60% - Énfasis6 11" xfId="802" xr:uid="{00000000-0005-0000-0000-000094050000}"/>
    <cellStyle name="60% - Énfasis6 12" xfId="803" xr:uid="{00000000-0005-0000-0000-000095050000}"/>
    <cellStyle name="60% - Énfasis6 13" xfId="804" xr:uid="{00000000-0005-0000-0000-000096050000}"/>
    <cellStyle name="60% - Énfasis6 14" xfId="805" xr:uid="{00000000-0005-0000-0000-000097050000}"/>
    <cellStyle name="60% - Énfasis6 15" xfId="806" xr:uid="{00000000-0005-0000-0000-000098050000}"/>
    <cellStyle name="60% - Énfasis6 16" xfId="807" xr:uid="{00000000-0005-0000-0000-000099050000}"/>
    <cellStyle name="60% - Énfasis6 17" xfId="808" xr:uid="{00000000-0005-0000-0000-00009A050000}"/>
    <cellStyle name="60% - Énfasis6 18" xfId="809" xr:uid="{00000000-0005-0000-0000-00009B050000}"/>
    <cellStyle name="60% - Énfasis6 19" xfId="810" xr:uid="{00000000-0005-0000-0000-00009C050000}"/>
    <cellStyle name="60% - Énfasis6 2" xfId="811" xr:uid="{00000000-0005-0000-0000-00009D050000}"/>
    <cellStyle name="60% - Énfasis6 20" xfId="812" xr:uid="{00000000-0005-0000-0000-00009E050000}"/>
    <cellStyle name="60% - Énfasis6 21" xfId="813" xr:uid="{00000000-0005-0000-0000-00009F050000}"/>
    <cellStyle name="60% - Énfasis6 22" xfId="814" xr:uid="{00000000-0005-0000-0000-0000A0050000}"/>
    <cellStyle name="60% - Énfasis6 23" xfId="815" xr:uid="{00000000-0005-0000-0000-0000A1050000}"/>
    <cellStyle name="60% - Énfasis6 24" xfId="816" xr:uid="{00000000-0005-0000-0000-0000A2050000}"/>
    <cellStyle name="60% - Énfasis6 25" xfId="817" xr:uid="{00000000-0005-0000-0000-0000A3050000}"/>
    <cellStyle name="60% - Énfasis6 26" xfId="818" xr:uid="{00000000-0005-0000-0000-0000A4050000}"/>
    <cellStyle name="60% - Énfasis6 27" xfId="819" xr:uid="{00000000-0005-0000-0000-0000A5050000}"/>
    <cellStyle name="60% - Énfasis6 28" xfId="820" xr:uid="{00000000-0005-0000-0000-0000A6050000}"/>
    <cellStyle name="60% - Énfasis6 29" xfId="821" xr:uid="{00000000-0005-0000-0000-0000A7050000}"/>
    <cellStyle name="60% - Énfasis6 3" xfId="822" xr:uid="{00000000-0005-0000-0000-0000A8050000}"/>
    <cellStyle name="60% - Énfasis6 30" xfId="823" xr:uid="{00000000-0005-0000-0000-0000A9050000}"/>
    <cellStyle name="60% - Énfasis6 31" xfId="824" xr:uid="{00000000-0005-0000-0000-0000AA050000}"/>
    <cellStyle name="60% - Énfasis6 32" xfId="825" xr:uid="{00000000-0005-0000-0000-0000AB050000}"/>
    <cellStyle name="60% - Énfasis6 33" xfId="826" xr:uid="{00000000-0005-0000-0000-0000AC050000}"/>
    <cellStyle name="60% - Énfasis6 34" xfId="827" xr:uid="{00000000-0005-0000-0000-0000AD050000}"/>
    <cellStyle name="60% - Énfasis6 35" xfId="828" xr:uid="{00000000-0005-0000-0000-0000AE050000}"/>
    <cellStyle name="60% - Énfasis6 36" xfId="829" xr:uid="{00000000-0005-0000-0000-0000AF050000}"/>
    <cellStyle name="60% - Énfasis6 37" xfId="830" xr:uid="{00000000-0005-0000-0000-0000B0050000}"/>
    <cellStyle name="60% - Énfasis6 38" xfId="831" xr:uid="{00000000-0005-0000-0000-0000B1050000}"/>
    <cellStyle name="60% - Énfasis6 38 2" xfId="2691" xr:uid="{00000000-0005-0000-0000-0000B2050000}"/>
    <cellStyle name="60% - Énfasis6 39" xfId="832" xr:uid="{00000000-0005-0000-0000-0000B3050000}"/>
    <cellStyle name="60% - Énfasis6 39 2" xfId="2692" xr:uid="{00000000-0005-0000-0000-0000B4050000}"/>
    <cellStyle name="60% - Énfasis6 4" xfId="833" xr:uid="{00000000-0005-0000-0000-0000B5050000}"/>
    <cellStyle name="60% - Énfasis6 40" xfId="834" xr:uid="{00000000-0005-0000-0000-0000B6050000}"/>
    <cellStyle name="60% - Énfasis6 40 2" xfId="2693" xr:uid="{00000000-0005-0000-0000-0000B7050000}"/>
    <cellStyle name="60% - Énfasis6 41" xfId="835" xr:uid="{00000000-0005-0000-0000-0000B8050000}"/>
    <cellStyle name="60% - Énfasis6 41 2" xfId="2694" xr:uid="{00000000-0005-0000-0000-0000B9050000}"/>
    <cellStyle name="60% - Énfasis6 42" xfId="836" xr:uid="{00000000-0005-0000-0000-0000BA050000}"/>
    <cellStyle name="60% - Énfasis6 42 2" xfId="2695" xr:uid="{00000000-0005-0000-0000-0000BB050000}"/>
    <cellStyle name="60% - Énfasis6 43" xfId="837" xr:uid="{00000000-0005-0000-0000-0000BC050000}"/>
    <cellStyle name="60% - Énfasis6 43 2" xfId="2696" xr:uid="{00000000-0005-0000-0000-0000BD050000}"/>
    <cellStyle name="60% - Énfasis6 44" xfId="838" xr:uid="{00000000-0005-0000-0000-0000BE050000}"/>
    <cellStyle name="60% - Énfasis6 44 2" xfId="2697" xr:uid="{00000000-0005-0000-0000-0000BF050000}"/>
    <cellStyle name="60% - Énfasis6 45" xfId="839" xr:uid="{00000000-0005-0000-0000-0000C0050000}"/>
    <cellStyle name="60% - Énfasis6 45 2" xfId="2698" xr:uid="{00000000-0005-0000-0000-0000C1050000}"/>
    <cellStyle name="60% - Énfasis6 46" xfId="840" xr:uid="{00000000-0005-0000-0000-0000C2050000}"/>
    <cellStyle name="60% - Énfasis6 46 2" xfId="2699" xr:uid="{00000000-0005-0000-0000-0000C3050000}"/>
    <cellStyle name="60% - Énfasis6 47" xfId="841" xr:uid="{00000000-0005-0000-0000-0000C4050000}"/>
    <cellStyle name="60% - Énfasis6 5" xfId="842" xr:uid="{00000000-0005-0000-0000-0000C5050000}"/>
    <cellStyle name="60% - Énfasis6 6" xfId="843" xr:uid="{00000000-0005-0000-0000-0000C6050000}"/>
    <cellStyle name="60% - Énfasis6 7" xfId="844" xr:uid="{00000000-0005-0000-0000-0000C7050000}"/>
    <cellStyle name="60% - Énfasis6 8" xfId="845" xr:uid="{00000000-0005-0000-0000-0000C8050000}"/>
    <cellStyle name="60% - Énfasis6 9" xfId="846" xr:uid="{00000000-0005-0000-0000-0000C9050000}"/>
    <cellStyle name="Buena 1" xfId="847" xr:uid="{00000000-0005-0000-0000-0000CA050000}"/>
    <cellStyle name="Buena 10" xfId="848" xr:uid="{00000000-0005-0000-0000-0000CB050000}"/>
    <cellStyle name="Buena 11" xfId="849" xr:uid="{00000000-0005-0000-0000-0000CC050000}"/>
    <cellStyle name="Buena 12" xfId="850" xr:uid="{00000000-0005-0000-0000-0000CD050000}"/>
    <cellStyle name="Buena 13" xfId="851" xr:uid="{00000000-0005-0000-0000-0000CE050000}"/>
    <cellStyle name="Buena 14" xfId="852" xr:uid="{00000000-0005-0000-0000-0000CF050000}"/>
    <cellStyle name="Buena 15" xfId="853" xr:uid="{00000000-0005-0000-0000-0000D0050000}"/>
    <cellStyle name="Buena 16" xfId="854" xr:uid="{00000000-0005-0000-0000-0000D1050000}"/>
    <cellStyle name="Buena 17" xfId="855" xr:uid="{00000000-0005-0000-0000-0000D2050000}"/>
    <cellStyle name="Buena 18" xfId="856" xr:uid="{00000000-0005-0000-0000-0000D3050000}"/>
    <cellStyle name="Buena 19" xfId="857" xr:uid="{00000000-0005-0000-0000-0000D4050000}"/>
    <cellStyle name="Buena 2" xfId="858" xr:uid="{00000000-0005-0000-0000-0000D5050000}"/>
    <cellStyle name="Buena 20" xfId="859" xr:uid="{00000000-0005-0000-0000-0000D6050000}"/>
    <cellStyle name="Buena 21" xfId="860" xr:uid="{00000000-0005-0000-0000-0000D7050000}"/>
    <cellStyle name="Buena 22" xfId="861" xr:uid="{00000000-0005-0000-0000-0000D8050000}"/>
    <cellStyle name="Buena 23" xfId="862" xr:uid="{00000000-0005-0000-0000-0000D9050000}"/>
    <cellStyle name="Buena 24" xfId="863" xr:uid="{00000000-0005-0000-0000-0000DA050000}"/>
    <cellStyle name="Buena 25" xfId="864" xr:uid="{00000000-0005-0000-0000-0000DB050000}"/>
    <cellStyle name="Buena 26" xfId="865" xr:uid="{00000000-0005-0000-0000-0000DC050000}"/>
    <cellStyle name="Buena 27" xfId="866" xr:uid="{00000000-0005-0000-0000-0000DD050000}"/>
    <cellStyle name="Buena 28" xfId="867" xr:uid="{00000000-0005-0000-0000-0000DE050000}"/>
    <cellStyle name="Buena 29" xfId="868" xr:uid="{00000000-0005-0000-0000-0000DF050000}"/>
    <cellStyle name="Buena 3" xfId="869" xr:uid="{00000000-0005-0000-0000-0000E0050000}"/>
    <cellStyle name="Buena 30" xfId="870" xr:uid="{00000000-0005-0000-0000-0000E1050000}"/>
    <cellStyle name="Buena 31" xfId="871" xr:uid="{00000000-0005-0000-0000-0000E2050000}"/>
    <cellStyle name="Buena 32" xfId="872" xr:uid="{00000000-0005-0000-0000-0000E3050000}"/>
    <cellStyle name="Buena 33" xfId="873" xr:uid="{00000000-0005-0000-0000-0000E4050000}"/>
    <cellStyle name="Buena 34" xfId="874" xr:uid="{00000000-0005-0000-0000-0000E5050000}"/>
    <cellStyle name="Buena 35" xfId="875" xr:uid="{00000000-0005-0000-0000-0000E6050000}"/>
    <cellStyle name="Buena 36" xfId="876" xr:uid="{00000000-0005-0000-0000-0000E7050000}"/>
    <cellStyle name="Buena 37" xfId="877" xr:uid="{00000000-0005-0000-0000-0000E8050000}"/>
    <cellStyle name="Buena 38" xfId="878" xr:uid="{00000000-0005-0000-0000-0000E9050000}"/>
    <cellStyle name="Buena 38 2" xfId="2700" xr:uid="{00000000-0005-0000-0000-0000EA050000}"/>
    <cellStyle name="Buena 39" xfId="879" xr:uid="{00000000-0005-0000-0000-0000EB050000}"/>
    <cellStyle name="Buena 39 2" xfId="2701" xr:uid="{00000000-0005-0000-0000-0000EC050000}"/>
    <cellStyle name="Buena 4" xfId="880" xr:uid="{00000000-0005-0000-0000-0000ED050000}"/>
    <cellStyle name="Buena 40" xfId="881" xr:uid="{00000000-0005-0000-0000-0000EE050000}"/>
    <cellStyle name="Buena 40 2" xfId="2702" xr:uid="{00000000-0005-0000-0000-0000EF050000}"/>
    <cellStyle name="Buena 41" xfId="882" xr:uid="{00000000-0005-0000-0000-0000F0050000}"/>
    <cellStyle name="Buena 41 2" xfId="2703" xr:uid="{00000000-0005-0000-0000-0000F1050000}"/>
    <cellStyle name="Buena 42" xfId="883" xr:uid="{00000000-0005-0000-0000-0000F2050000}"/>
    <cellStyle name="Buena 42 2" xfId="2704" xr:uid="{00000000-0005-0000-0000-0000F3050000}"/>
    <cellStyle name="Buena 43" xfId="884" xr:uid="{00000000-0005-0000-0000-0000F4050000}"/>
    <cellStyle name="Buena 43 2" xfId="2705" xr:uid="{00000000-0005-0000-0000-0000F5050000}"/>
    <cellStyle name="Buena 44" xfId="885" xr:uid="{00000000-0005-0000-0000-0000F6050000}"/>
    <cellStyle name="Buena 44 2" xfId="2706" xr:uid="{00000000-0005-0000-0000-0000F7050000}"/>
    <cellStyle name="Buena 45" xfId="886" xr:uid="{00000000-0005-0000-0000-0000F8050000}"/>
    <cellStyle name="Buena 45 2" xfId="2707" xr:uid="{00000000-0005-0000-0000-0000F9050000}"/>
    <cellStyle name="Buena 46" xfId="887" xr:uid="{00000000-0005-0000-0000-0000FA050000}"/>
    <cellStyle name="Buena 46 2" xfId="2708" xr:uid="{00000000-0005-0000-0000-0000FB050000}"/>
    <cellStyle name="Buena 47" xfId="888" xr:uid="{00000000-0005-0000-0000-0000FC050000}"/>
    <cellStyle name="Buena 5" xfId="889" xr:uid="{00000000-0005-0000-0000-0000FD050000}"/>
    <cellStyle name="Buena 6" xfId="890" xr:uid="{00000000-0005-0000-0000-0000FE050000}"/>
    <cellStyle name="Buena 7" xfId="891" xr:uid="{00000000-0005-0000-0000-0000FF050000}"/>
    <cellStyle name="Buena 8" xfId="892" xr:uid="{00000000-0005-0000-0000-000000060000}"/>
    <cellStyle name="Buena 9" xfId="893" xr:uid="{00000000-0005-0000-0000-000001060000}"/>
    <cellStyle name="Cálculo" xfId="2051" builtinId="22" customBuiltin="1"/>
    <cellStyle name="Cálculo 1" xfId="894" xr:uid="{00000000-0005-0000-0000-000003060000}"/>
    <cellStyle name="Cálculo 10" xfId="895" xr:uid="{00000000-0005-0000-0000-000004060000}"/>
    <cellStyle name="Cálculo 11" xfId="896" xr:uid="{00000000-0005-0000-0000-000005060000}"/>
    <cellStyle name="Cálculo 12" xfId="897" xr:uid="{00000000-0005-0000-0000-000006060000}"/>
    <cellStyle name="Cálculo 13" xfId="898" xr:uid="{00000000-0005-0000-0000-000007060000}"/>
    <cellStyle name="Cálculo 14" xfId="899" xr:uid="{00000000-0005-0000-0000-000008060000}"/>
    <cellStyle name="Cálculo 15" xfId="900" xr:uid="{00000000-0005-0000-0000-000009060000}"/>
    <cellStyle name="Cálculo 16" xfId="901" xr:uid="{00000000-0005-0000-0000-00000A060000}"/>
    <cellStyle name="Cálculo 17" xfId="902" xr:uid="{00000000-0005-0000-0000-00000B060000}"/>
    <cellStyle name="Cálculo 18" xfId="903" xr:uid="{00000000-0005-0000-0000-00000C060000}"/>
    <cellStyle name="Cálculo 19" xfId="904" xr:uid="{00000000-0005-0000-0000-00000D060000}"/>
    <cellStyle name="Cálculo 2" xfId="905" xr:uid="{00000000-0005-0000-0000-00000E060000}"/>
    <cellStyle name="Cálculo 20" xfId="906" xr:uid="{00000000-0005-0000-0000-00000F060000}"/>
    <cellStyle name="Cálculo 21" xfId="907" xr:uid="{00000000-0005-0000-0000-000010060000}"/>
    <cellStyle name="Cálculo 22" xfId="908" xr:uid="{00000000-0005-0000-0000-000011060000}"/>
    <cellStyle name="Cálculo 23" xfId="909" xr:uid="{00000000-0005-0000-0000-000012060000}"/>
    <cellStyle name="Cálculo 24" xfId="910" xr:uid="{00000000-0005-0000-0000-000013060000}"/>
    <cellStyle name="Cálculo 25" xfId="911" xr:uid="{00000000-0005-0000-0000-000014060000}"/>
    <cellStyle name="Cálculo 26" xfId="912" xr:uid="{00000000-0005-0000-0000-000015060000}"/>
    <cellStyle name="Cálculo 27" xfId="913" xr:uid="{00000000-0005-0000-0000-000016060000}"/>
    <cellStyle name="Cálculo 28" xfId="914" xr:uid="{00000000-0005-0000-0000-000017060000}"/>
    <cellStyle name="Cálculo 29" xfId="915" xr:uid="{00000000-0005-0000-0000-000018060000}"/>
    <cellStyle name="Cálculo 3" xfId="916" xr:uid="{00000000-0005-0000-0000-000019060000}"/>
    <cellStyle name="Cálculo 30" xfId="917" xr:uid="{00000000-0005-0000-0000-00001A060000}"/>
    <cellStyle name="Cálculo 31" xfId="918" xr:uid="{00000000-0005-0000-0000-00001B060000}"/>
    <cellStyle name="Cálculo 32" xfId="919" xr:uid="{00000000-0005-0000-0000-00001C060000}"/>
    <cellStyle name="Cálculo 33" xfId="920" xr:uid="{00000000-0005-0000-0000-00001D060000}"/>
    <cellStyle name="Cálculo 34" xfId="921" xr:uid="{00000000-0005-0000-0000-00001E060000}"/>
    <cellStyle name="Cálculo 35" xfId="922" xr:uid="{00000000-0005-0000-0000-00001F060000}"/>
    <cellStyle name="Cálculo 36" xfId="923" xr:uid="{00000000-0005-0000-0000-000020060000}"/>
    <cellStyle name="Cálculo 37" xfId="924" xr:uid="{00000000-0005-0000-0000-000021060000}"/>
    <cellStyle name="Cálculo 37 2" xfId="2709" xr:uid="{00000000-0005-0000-0000-000022060000}"/>
    <cellStyle name="Cálculo 38" xfId="925" xr:uid="{00000000-0005-0000-0000-000023060000}"/>
    <cellStyle name="Cálculo 38 2" xfId="2710" xr:uid="{00000000-0005-0000-0000-000024060000}"/>
    <cellStyle name="Cálculo 39" xfId="926" xr:uid="{00000000-0005-0000-0000-000025060000}"/>
    <cellStyle name="Cálculo 39 2" xfId="2711" xr:uid="{00000000-0005-0000-0000-000026060000}"/>
    <cellStyle name="Cálculo 4" xfId="927" xr:uid="{00000000-0005-0000-0000-000027060000}"/>
    <cellStyle name="Cálculo 40" xfId="928" xr:uid="{00000000-0005-0000-0000-000028060000}"/>
    <cellStyle name="Cálculo 40 2" xfId="2712" xr:uid="{00000000-0005-0000-0000-000029060000}"/>
    <cellStyle name="Cálculo 41" xfId="929" xr:uid="{00000000-0005-0000-0000-00002A060000}"/>
    <cellStyle name="Cálculo 41 2" xfId="2713" xr:uid="{00000000-0005-0000-0000-00002B060000}"/>
    <cellStyle name="Cálculo 42" xfId="930" xr:uid="{00000000-0005-0000-0000-00002C060000}"/>
    <cellStyle name="Cálculo 42 2" xfId="2714" xr:uid="{00000000-0005-0000-0000-00002D060000}"/>
    <cellStyle name="Cálculo 43" xfId="931" xr:uid="{00000000-0005-0000-0000-00002E060000}"/>
    <cellStyle name="Cálculo 43 2" xfId="2715" xr:uid="{00000000-0005-0000-0000-00002F060000}"/>
    <cellStyle name="Cálculo 44" xfId="932" xr:uid="{00000000-0005-0000-0000-000030060000}"/>
    <cellStyle name="Cálculo 44 2" xfId="2716" xr:uid="{00000000-0005-0000-0000-000031060000}"/>
    <cellStyle name="Cálculo 45" xfId="933" xr:uid="{00000000-0005-0000-0000-000032060000}"/>
    <cellStyle name="Cálculo 45 2" xfId="2717" xr:uid="{00000000-0005-0000-0000-000033060000}"/>
    <cellStyle name="Cálculo 46" xfId="934" xr:uid="{00000000-0005-0000-0000-000034060000}"/>
    <cellStyle name="Cálculo 5" xfId="935" xr:uid="{00000000-0005-0000-0000-000035060000}"/>
    <cellStyle name="Cálculo 6" xfId="936" xr:uid="{00000000-0005-0000-0000-000036060000}"/>
    <cellStyle name="Cálculo 7" xfId="937" xr:uid="{00000000-0005-0000-0000-000037060000}"/>
    <cellStyle name="Cálculo 8" xfId="938" xr:uid="{00000000-0005-0000-0000-000038060000}"/>
    <cellStyle name="Cálculo 9" xfId="939" xr:uid="{00000000-0005-0000-0000-000039060000}"/>
    <cellStyle name="Celda de comprobación" xfId="2053" builtinId="23" customBuiltin="1"/>
    <cellStyle name="Celda de comprobación 1" xfId="940" xr:uid="{00000000-0005-0000-0000-00003B060000}"/>
    <cellStyle name="Celda de comprobación 10" xfId="941" xr:uid="{00000000-0005-0000-0000-00003C060000}"/>
    <cellStyle name="Celda de comprobación 11" xfId="942" xr:uid="{00000000-0005-0000-0000-00003D060000}"/>
    <cellStyle name="Celda de comprobación 12" xfId="943" xr:uid="{00000000-0005-0000-0000-00003E060000}"/>
    <cellStyle name="Celda de comprobación 13" xfId="944" xr:uid="{00000000-0005-0000-0000-00003F060000}"/>
    <cellStyle name="Celda de comprobación 14" xfId="945" xr:uid="{00000000-0005-0000-0000-000040060000}"/>
    <cellStyle name="Celda de comprobación 15" xfId="946" xr:uid="{00000000-0005-0000-0000-000041060000}"/>
    <cellStyle name="Celda de comprobación 16" xfId="947" xr:uid="{00000000-0005-0000-0000-000042060000}"/>
    <cellStyle name="Celda de comprobación 17" xfId="948" xr:uid="{00000000-0005-0000-0000-000043060000}"/>
    <cellStyle name="Celda de comprobación 18" xfId="949" xr:uid="{00000000-0005-0000-0000-000044060000}"/>
    <cellStyle name="Celda de comprobación 19" xfId="950" xr:uid="{00000000-0005-0000-0000-000045060000}"/>
    <cellStyle name="Celda de comprobación 2" xfId="951" xr:uid="{00000000-0005-0000-0000-000046060000}"/>
    <cellStyle name="Celda de comprobación 20" xfId="952" xr:uid="{00000000-0005-0000-0000-000047060000}"/>
    <cellStyle name="Celda de comprobación 21" xfId="953" xr:uid="{00000000-0005-0000-0000-000048060000}"/>
    <cellStyle name="Celda de comprobación 22" xfId="954" xr:uid="{00000000-0005-0000-0000-000049060000}"/>
    <cellStyle name="Celda de comprobación 23" xfId="955" xr:uid="{00000000-0005-0000-0000-00004A060000}"/>
    <cellStyle name="Celda de comprobación 24" xfId="956" xr:uid="{00000000-0005-0000-0000-00004B060000}"/>
    <cellStyle name="Celda de comprobación 25" xfId="957" xr:uid="{00000000-0005-0000-0000-00004C060000}"/>
    <cellStyle name="Celda de comprobación 26" xfId="958" xr:uid="{00000000-0005-0000-0000-00004D060000}"/>
    <cellStyle name="Celda de comprobación 27" xfId="959" xr:uid="{00000000-0005-0000-0000-00004E060000}"/>
    <cellStyle name="Celda de comprobación 28" xfId="960" xr:uid="{00000000-0005-0000-0000-00004F060000}"/>
    <cellStyle name="Celda de comprobación 29" xfId="961" xr:uid="{00000000-0005-0000-0000-000050060000}"/>
    <cellStyle name="Celda de comprobación 3" xfId="962" xr:uid="{00000000-0005-0000-0000-000051060000}"/>
    <cellStyle name="Celda de comprobación 30" xfId="963" xr:uid="{00000000-0005-0000-0000-000052060000}"/>
    <cellStyle name="Celda de comprobación 31" xfId="964" xr:uid="{00000000-0005-0000-0000-000053060000}"/>
    <cellStyle name="Celda de comprobación 32" xfId="965" xr:uid="{00000000-0005-0000-0000-000054060000}"/>
    <cellStyle name="Celda de comprobación 33" xfId="966" xr:uid="{00000000-0005-0000-0000-000055060000}"/>
    <cellStyle name="Celda de comprobación 34" xfId="967" xr:uid="{00000000-0005-0000-0000-000056060000}"/>
    <cellStyle name="Celda de comprobación 35" xfId="968" xr:uid="{00000000-0005-0000-0000-000057060000}"/>
    <cellStyle name="Celda de comprobación 36" xfId="969" xr:uid="{00000000-0005-0000-0000-000058060000}"/>
    <cellStyle name="Celda de comprobación 37" xfId="970" xr:uid="{00000000-0005-0000-0000-000059060000}"/>
    <cellStyle name="Celda de comprobación 37 2" xfId="2718" xr:uid="{00000000-0005-0000-0000-00005A060000}"/>
    <cellStyle name="Celda de comprobación 38" xfId="971" xr:uid="{00000000-0005-0000-0000-00005B060000}"/>
    <cellStyle name="Celda de comprobación 38 2" xfId="2719" xr:uid="{00000000-0005-0000-0000-00005C060000}"/>
    <cellStyle name="Celda de comprobación 39" xfId="972" xr:uid="{00000000-0005-0000-0000-00005D060000}"/>
    <cellStyle name="Celda de comprobación 39 2" xfId="2720" xr:uid="{00000000-0005-0000-0000-00005E060000}"/>
    <cellStyle name="Celda de comprobación 4" xfId="973" xr:uid="{00000000-0005-0000-0000-00005F060000}"/>
    <cellStyle name="Celda de comprobación 40" xfId="974" xr:uid="{00000000-0005-0000-0000-000060060000}"/>
    <cellStyle name="Celda de comprobación 40 2" xfId="2721" xr:uid="{00000000-0005-0000-0000-000061060000}"/>
    <cellStyle name="Celda de comprobación 41" xfId="975" xr:uid="{00000000-0005-0000-0000-000062060000}"/>
    <cellStyle name="Celda de comprobación 41 2" xfId="2722" xr:uid="{00000000-0005-0000-0000-000063060000}"/>
    <cellStyle name="Celda de comprobación 42" xfId="976" xr:uid="{00000000-0005-0000-0000-000064060000}"/>
    <cellStyle name="Celda de comprobación 42 2" xfId="2723" xr:uid="{00000000-0005-0000-0000-000065060000}"/>
    <cellStyle name="Celda de comprobación 43" xfId="977" xr:uid="{00000000-0005-0000-0000-000066060000}"/>
    <cellStyle name="Celda de comprobación 43 2" xfId="2724" xr:uid="{00000000-0005-0000-0000-000067060000}"/>
    <cellStyle name="Celda de comprobación 44" xfId="978" xr:uid="{00000000-0005-0000-0000-000068060000}"/>
    <cellStyle name="Celda de comprobación 44 2" xfId="2725" xr:uid="{00000000-0005-0000-0000-000069060000}"/>
    <cellStyle name="Celda de comprobación 45" xfId="979" xr:uid="{00000000-0005-0000-0000-00006A060000}"/>
    <cellStyle name="Celda de comprobación 45 2" xfId="2726" xr:uid="{00000000-0005-0000-0000-00006B060000}"/>
    <cellStyle name="Celda de comprobación 46" xfId="980" xr:uid="{00000000-0005-0000-0000-00006C060000}"/>
    <cellStyle name="Celda de comprobación 5" xfId="981" xr:uid="{00000000-0005-0000-0000-00006D060000}"/>
    <cellStyle name="Celda de comprobación 6" xfId="982" xr:uid="{00000000-0005-0000-0000-00006E060000}"/>
    <cellStyle name="Celda de comprobación 7" xfId="983" xr:uid="{00000000-0005-0000-0000-00006F060000}"/>
    <cellStyle name="Celda de comprobación 8" xfId="984" xr:uid="{00000000-0005-0000-0000-000070060000}"/>
    <cellStyle name="Celda de comprobación 9" xfId="985" xr:uid="{00000000-0005-0000-0000-000071060000}"/>
    <cellStyle name="Celda vinculada" xfId="2052" builtinId="24" customBuiltin="1"/>
    <cellStyle name="Celda vinculada 1" xfId="986" xr:uid="{00000000-0005-0000-0000-000073060000}"/>
    <cellStyle name="Celda vinculada 10" xfId="987" xr:uid="{00000000-0005-0000-0000-000074060000}"/>
    <cellStyle name="Celda vinculada 11" xfId="988" xr:uid="{00000000-0005-0000-0000-000075060000}"/>
    <cellStyle name="Celda vinculada 12" xfId="989" xr:uid="{00000000-0005-0000-0000-000076060000}"/>
    <cellStyle name="Celda vinculada 13" xfId="990" xr:uid="{00000000-0005-0000-0000-000077060000}"/>
    <cellStyle name="Celda vinculada 14" xfId="991" xr:uid="{00000000-0005-0000-0000-000078060000}"/>
    <cellStyle name="Celda vinculada 15" xfId="992" xr:uid="{00000000-0005-0000-0000-000079060000}"/>
    <cellStyle name="Celda vinculada 16" xfId="993" xr:uid="{00000000-0005-0000-0000-00007A060000}"/>
    <cellStyle name="Celda vinculada 17" xfId="994" xr:uid="{00000000-0005-0000-0000-00007B060000}"/>
    <cellStyle name="Celda vinculada 18" xfId="995" xr:uid="{00000000-0005-0000-0000-00007C060000}"/>
    <cellStyle name="Celda vinculada 19" xfId="996" xr:uid="{00000000-0005-0000-0000-00007D060000}"/>
    <cellStyle name="Celda vinculada 2" xfId="997" xr:uid="{00000000-0005-0000-0000-00007E060000}"/>
    <cellStyle name="Celda vinculada 20" xfId="998" xr:uid="{00000000-0005-0000-0000-00007F060000}"/>
    <cellStyle name="Celda vinculada 21" xfId="999" xr:uid="{00000000-0005-0000-0000-000080060000}"/>
    <cellStyle name="Celda vinculada 22" xfId="1000" xr:uid="{00000000-0005-0000-0000-000081060000}"/>
    <cellStyle name="Celda vinculada 23" xfId="1001" xr:uid="{00000000-0005-0000-0000-000082060000}"/>
    <cellStyle name="Celda vinculada 24" xfId="1002" xr:uid="{00000000-0005-0000-0000-000083060000}"/>
    <cellStyle name="Celda vinculada 25" xfId="1003" xr:uid="{00000000-0005-0000-0000-000084060000}"/>
    <cellStyle name="Celda vinculada 26" xfId="1004" xr:uid="{00000000-0005-0000-0000-000085060000}"/>
    <cellStyle name="Celda vinculada 27" xfId="1005" xr:uid="{00000000-0005-0000-0000-000086060000}"/>
    <cellStyle name="Celda vinculada 28" xfId="1006" xr:uid="{00000000-0005-0000-0000-000087060000}"/>
    <cellStyle name="Celda vinculada 29" xfId="1007" xr:uid="{00000000-0005-0000-0000-000088060000}"/>
    <cellStyle name="Celda vinculada 3" xfId="1008" xr:uid="{00000000-0005-0000-0000-000089060000}"/>
    <cellStyle name="Celda vinculada 30" xfId="1009" xr:uid="{00000000-0005-0000-0000-00008A060000}"/>
    <cellStyle name="Celda vinculada 31" xfId="1010" xr:uid="{00000000-0005-0000-0000-00008B060000}"/>
    <cellStyle name="Celda vinculada 32" xfId="1011" xr:uid="{00000000-0005-0000-0000-00008C060000}"/>
    <cellStyle name="Celda vinculada 33" xfId="1012" xr:uid="{00000000-0005-0000-0000-00008D060000}"/>
    <cellStyle name="Celda vinculada 34" xfId="1013" xr:uid="{00000000-0005-0000-0000-00008E060000}"/>
    <cellStyle name="Celda vinculada 35" xfId="1014" xr:uid="{00000000-0005-0000-0000-00008F060000}"/>
    <cellStyle name="Celda vinculada 36" xfId="1015" xr:uid="{00000000-0005-0000-0000-000090060000}"/>
    <cellStyle name="Celda vinculada 37" xfId="1016" xr:uid="{00000000-0005-0000-0000-000091060000}"/>
    <cellStyle name="Celda vinculada 37 2" xfId="2727" xr:uid="{00000000-0005-0000-0000-000092060000}"/>
    <cellStyle name="Celda vinculada 38" xfId="1017" xr:uid="{00000000-0005-0000-0000-000093060000}"/>
    <cellStyle name="Celda vinculada 38 2" xfId="2728" xr:uid="{00000000-0005-0000-0000-000094060000}"/>
    <cellStyle name="Celda vinculada 39" xfId="1018" xr:uid="{00000000-0005-0000-0000-000095060000}"/>
    <cellStyle name="Celda vinculada 39 2" xfId="2729" xr:uid="{00000000-0005-0000-0000-000096060000}"/>
    <cellStyle name="Celda vinculada 4" xfId="1019" xr:uid="{00000000-0005-0000-0000-000097060000}"/>
    <cellStyle name="Celda vinculada 40" xfId="1020" xr:uid="{00000000-0005-0000-0000-000098060000}"/>
    <cellStyle name="Celda vinculada 40 2" xfId="2730" xr:uid="{00000000-0005-0000-0000-000099060000}"/>
    <cellStyle name="Celda vinculada 41" xfId="1021" xr:uid="{00000000-0005-0000-0000-00009A060000}"/>
    <cellStyle name="Celda vinculada 41 2" xfId="2731" xr:uid="{00000000-0005-0000-0000-00009B060000}"/>
    <cellStyle name="Celda vinculada 42" xfId="1022" xr:uid="{00000000-0005-0000-0000-00009C060000}"/>
    <cellStyle name="Celda vinculada 42 2" xfId="2732" xr:uid="{00000000-0005-0000-0000-00009D060000}"/>
    <cellStyle name="Celda vinculada 43" xfId="1023" xr:uid="{00000000-0005-0000-0000-00009E060000}"/>
    <cellStyle name="Celda vinculada 43 2" xfId="2733" xr:uid="{00000000-0005-0000-0000-00009F060000}"/>
    <cellStyle name="Celda vinculada 44" xfId="1024" xr:uid="{00000000-0005-0000-0000-0000A0060000}"/>
    <cellStyle name="Celda vinculada 44 2" xfId="2734" xr:uid="{00000000-0005-0000-0000-0000A1060000}"/>
    <cellStyle name="Celda vinculada 45" xfId="1025" xr:uid="{00000000-0005-0000-0000-0000A2060000}"/>
    <cellStyle name="Celda vinculada 45 2" xfId="2735" xr:uid="{00000000-0005-0000-0000-0000A3060000}"/>
    <cellStyle name="Celda vinculada 5" xfId="1026" xr:uid="{00000000-0005-0000-0000-0000A4060000}"/>
    <cellStyle name="Celda vinculada 6" xfId="1027" xr:uid="{00000000-0005-0000-0000-0000A5060000}"/>
    <cellStyle name="Celda vinculada 7" xfId="1028" xr:uid="{00000000-0005-0000-0000-0000A6060000}"/>
    <cellStyle name="Celda vinculada 8" xfId="1029" xr:uid="{00000000-0005-0000-0000-0000A7060000}"/>
    <cellStyle name="Celda vinculada 9" xfId="1030" xr:uid="{00000000-0005-0000-0000-0000A8060000}"/>
    <cellStyle name="Encabezado 4" xfId="2046" builtinId="19" customBuiltin="1"/>
    <cellStyle name="Encabezado 4 1" xfId="1031" xr:uid="{00000000-0005-0000-0000-0000AA060000}"/>
    <cellStyle name="Encabezado 4 10" xfId="1032" xr:uid="{00000000-0005-0000-0000-0000AB060000}"/>
    <cellStyle name="Encabezado 4 11" xfId="1033" xr:uid="{00000000-0005-0000-0000-0000AC060000}"/>
    <cellStyle name="Encabezado 4 12" xfId="1034" xr:uid="{00000000-0005-0000-0000-0000AD060000}"/>
    <cellStyle name="Encabezado 4 13" xfId="1035" xr:uid="{00000000-0005-0000-0000-0000AE060000}"/>
    <cellStyle name="Encabezado 4 14" xfId="1036" xr:uid="{00000000-0005-0000-0000-0000AF060000}"/>
    <cellStyle name="Encabezado 4 15" xfId="1037" xr:uid="{00000000-0005-0000-0000-0000B0060000}"/>
    <cellStyle name="Encabezado 4 16" xfId="1038" xr:uid="{00000000-0005-0000-0000-0000B1060000}"/>
    <cellStyle name="Encabezado 4 17" xfId="1039" xr:uid="{00000000-0005-0000-0000-0000B2060000}"/>
    <cellStyle name="Encabezado 4 18" xfId="1040" xr:uid="{00000000-0005-0000-0000-0000B3060000}"/>
    <cellStyle name="Encabezado 4 19" xfId="1041" xr:uid="{00000000-0005-0000-0000-0000B4060000}"/>
    <cellStyle name="Encabezado 4 2" xfId="1042" xr:uid="{00000000-0005-0000-0000-0000B5060000}"/>
    <cellStyle name="Encabezado 4 20" xfId="1043" xr:uid="{00000000-0005-0000-0000-0000B6060000}"/>
    <cellStyle name="Encabezado 4 21" xfId="1044" xr:uid="{00000000-0005-0000-0000-0000B7060000}"/>
    <cellStyle name="Encabezado 4 22" xfId="1045" xr:uid="{00000000-0005-0000-0000-0000B8060000}"/>
    <cellStyle name="Encabezado 4 23" xfId="1046" xr:uid="{00000000-0005-0000-0000-0000B9060000}"/>
    <cellStyle name="Encabezado 4 24" xfId="1047" xr:uid="{00000000-0005-0000-0000-0000BA060000}"/>
    <cellStyle name="Encabezado 4 25" xfId="1048" xr:uid="{00000000-0005-0000-0000-0000BB060000}"/>
    <cellStyle name="Encabezado 4 26" xfId="1049" xr:uid="{00000000-0005-0000-0000-0000BC060000}"/>
    <cellStyle name="Encabezado 4 27" xfId="1050" xr:uid="{00000000-0005-0000-0000-0000BD060000}"/>
    <cellStyle name="Encabezado 4 28" xfId="1051" xr:uid="{00000000-0005-0000-0000-0000BE060000}"/>
    <cellStyle name="Encabezado 4 29" xfId="1052" xr:uid="{00000000-0005-0000-0000-0000BF060000}"/>
    <cellStyle name="Encabezado 4 3" xfId="1053" xr:uid="{00000000-0005-0000-0000-0000C0060000}"/>
    <cellStyle name="Encabezado 4 30" xfId="1054" xr:uid="{00000000-0005-0000-0000-0000C1060000}"/>
    <cellStyle name="Encabezado 4 31" xfId="1055" xr:uid="{00000000-0005-0000-0000-0000C2060000}"/>
    <cellStyle name="Encabezado 4 32" xfId="1056" xr:uid="{00000000-0005-0000-0000-0000C3060000}"/>
    <cellStyle name="Encabezado 4 33" xfId="1057" xr:uid="{00000000-0005-0000-0000-0000C4060000}"/>
    <cellStyle name="Encabezado 4 34" xfId="1058" xr:uid="{00000000-0005-0000-0000-0000C5060000}"/>
    <cellStyle name="Encabezado 4 35" xfId="1059" xr:uid="{00000000-0005-0000-0000-0000C6060000}"/>
    <cellStyle name="Encabezado 4 36" xfId="1060" xr:uid="{00000000-0005-0000-0000-0000C7060000}"/>
    <cellStyle name="Encabezado 4 37" xfId="1061" xr:uid="{00000000-0005-0000-0000-0000C8060000}"/>
    <cellStyle name="Encabezado 4 37 2" xfId="2736" xr:uid="{00000000-0005-0000-0000-0000C9060000}"/>
    <cellStyle name="Encabezado 4 38" xfId="1062" xr:uid="{00000000-0005-0000-0000-0000CA060000}"/>
    <cellStyle name="Encabezado 4 38 2" xfId="2737" xr:uid="{00000000-0005-0000-0000-0000CB060000}"/>
    <cellStyle name="Encabezado 4 39" xfId="1063" xr:uid="{00000000-0005-0000-0000-0000CC060000}"/>
    <cellStyle name="Encabezado 4 39 2" xfId="2738" xr:uid="{00000000-0005-0000-0000-0000CD060000}"/>
    <cellStyle name="Encabezado 4 4" xfId="1064" xr:uid="{00000000-0005-0000-0000-0000CE060000}"/>
    <cellStyle name="Encabezado 4 40" xfId="1065" xr:uid="{00000000-0005-0000-0000-0000CF060000}"/>
    <cellStyle name="Encabezado 4 40 2" xfId="2739" xr:uid="{00000000-0005-0000-0000-0000D0060000}"/>
    <cellStyle name="Encabezado 4 41" xfId="1066" xr:uid="{00000000-0005-0000-0000-0000D1060000}"/>
    <cellStyle name="Encabezado 4 41 2" xfId="2740" xr:uid="{00000000-0005-0000-0000-0000D2060000}"/>
    <cellStyle name="Encabezado 4 42" xfId="1067" xr:uid="{00000000-0005-0000-0000-0000D3060000}"/>
    <cellStyle name="Encabezado 4 42 2" xfId="2741" xr:uid="{00000000-0005-0000-0000-0000D4060000}"/>
    <cellStyle name="Encabezado 4 43" xfId="1068" xr:uid="{00000000-0005-0000-0000-0000D5060000}"/>
    <cellStyle name="Encabezado 4 43 2" xfId="2742" xr:uid="{00000000-0005-0000-0000-0000D6060000}"/>
    <cellStyle name="Encabezado 4 44" xfId="1069" xr:uid="{00000000-0005-0000-0000-0000D7060000}"/>
    <cellStyle name="Encabezado 4 44 2" xfId="2743" xr:uid="{00000000-0005-0000-0000-0000D8060000}"/>
    <cellStyle name="Encabezado 4 45" xfId="1070" xr:uid="{00000000-0005-0000-0000-0000D9060000}"/>
    <cellStyle name="Encabezado 4 45 2" xfId="2744" xr:uid="{00000000-0005-0000-0000-0000DA060000}"/>
    <cellStyle name="Encabezado 4 5" xfId="1071" xr:uid="{00000000-0005-0000-0000-0000DB060000}"/>
    <cellStyle name="Encabezado 4 6" xfId="1072" xr:uid="{00000000-0005-0000-0000-0000DC060000}"/>
    <cellStyle name="Encabezado 4 7" xfId="1073" xr:uid="{00000000-0005-0000-0000-0000DD060000}"/>
    <cellStyle name="Encabezado 4 8" xfId="1074" xr:uid="{00000000-0005-0000-0000-0000DE060000}"/>
    <cellStyle name="Encabezado 4 9" xfId="1075" xr:uid="{00000000-0005-0000-0000-0000DF060000}"/>
    <cellStyle name="Énfasis1" xfId="2058" builtinId="29" customBuiltin="1"/>
    <cellStyle name="Énfasis1 1" xfId="1076" xr:uid="{00000000-0005-0000-0000-0000E1060000}"/>
    <cellStyle name="Énfasis1 10" xfId="1077" xr:uid="{00000000-0005-0000-0000-0000E2060000}"/>
    <cellStyle name="Énfasis1 11" xfId="1078" xr:uid="{00000000-0005-0000-0000-0000E3060000}"/>
    <cellStyle name="Énfasis1 12" xfId="1079" xr:uid="{00000000-0005-0000-0000-0000E4060000}"/>
    <cellStyle name="Énfasis1 13" xfId="1080" xr:uid="{00000000-0005-0000-0000-0000E5060000}"/>
    <cellStyle name="Énfasis1 14" xfId="1081" xr:uid="{00000000-0005-0000-0000-0000E6060000}"/>
    <cellStyle name="Énfasis1 15" xfId="1082" xr:uid="{00000000-0005-0000-0000-0000E7060000}"/>
    <cellStyle name="Énfasis1 16" xfId="1083" xr:uid="{00000000-0005-0000-0000-0000E8060000}"/>
    <cellStyle name="Énfasis1 17" xfId="1084" xr:uid="{00000000-0005-0000-0000-0000E9060000}"/>
    <cellStyle name="Énfasis1 18" xfId="1085" xr:uid="{00000000-0005-0000-0000-0000EA060000}"/>
    <cellStyle name="Énfasis1 19" xfId="1086" xr:uid="{00000000-0005-0000-0000-0000EB060000}"/>
    <cellStyle name="Énfasis1 2" xfId="1087" xr:uid="{00000000-0005-0000-0000-0000EC060000}"/>
    <cellStyle name="Énfasis1 20" xfId="1088" xr:uid="{00000000-0005-0000-0000-0000ED060000}"/>
    <cellStyle name="Énfasis1 21" xfId="1089" xr:uid="{00000000-0005-0000-0000-0000EE060000}"/>
    <cellStyle name="Énfasis1 22" xfId="1090" xr:uid="{00000000-0005-0000-0000-0000EF060000}"/>
    <cellStyle name="Énfasis1 23" xfId="1091" xr:uid="{00000000-0005-0000-0000-0000F0060000}"/>
    <cellStyle name="Énfasis1 24" xfId="1092" xr:uid="{00000000-0005-0000-0000-0000F1060000}"/>
    <cellStyle name="Énfasis1 25" xfId="1093" xr:uid="{00000000-0005-0000-0000-0000F2060000}"/>
    <cellStyle name="Énfasis1 26" xfId="1094" xr:uid="{00000000-0005-0000-0000-0000F3060000}"/>
    <cellStyle name="Énfasis1 27" xfId="1095" xr:uid="{00000000-0005-0000-0000-0000F4060000}"/>
    <cellStyle name="Énfasis1 28" xfId="1096" xr:uid="{00000000-0005-0000-0000-0000F5060000}"/>
    <cellStyle name="Énfasis1 29" xfId="1097" xr:uid="{00000000-0005-0000-0000-0000F6060000}"/>
    <cellStyle name="Énfasis1 3" xfId="1098" xr:uid="{00000000-0005-0000-0000-0000F7060000}"/>
    <cellStyle name="Énfasis1 30" xfId="1099" xr:uid="{00000000-0005-0000-0000-0000F8060000}"/>
    <cellStyle name="Énfasis1 31" xfId="1100" xr:uid="{00000000-0005-0000-0000-0000F9060000}"/>
    <cellStyle name="Énfasis1 32" xfId="1101" xr:uid="{00000000-0005-0000-0000-0000FA060000}"/>
    <cellStyle name="Énfasis1 33" xfId="1102" xr:uid="{00000000-0005-0000-0000-0000FB060000}"/>
    <cellStyle name="Énfasis1 34" xfId="1103" xr:uid="{00000000-0005-0000-0000-0000FC060000}"/>
    <cellStyle name="Énfasis1 35" xfId="1104" xr:uid="{00000000-0005-0000-0000-0000FD060000}"/>
    <cellStyle name="Énfasis1 36" xfId="1105" xr:uid="{00000000-0005-0000-0000-0000FE060000}"/>
    <cellStyle name="Énfasis1 37" xfId="1106" xr:uid="{00000000-0005-0000-0000-0000FF060000}"/>
    <cellStyle name="Énfasis1 37 2" xfId="2745" xr:uid="{00000000-0005-0000-0000-000000070000}"/>
    <cellStyle name="Énfasis1 38" xfId="1107" xr:uid="{00000000-0005-0000-0000-000001070000}"/>
    <cellStyle name="Énfasis1 38 2" xfId="2746" xr:uid="{00000000-0005-0000-0000-000002070000}"/>
    <cellStyle name="Énfasis1 39" xfId="1108" xr:uid="{00000000-0005-0000-0000-000003070000}"/>
    <cellStyle name="Énfasis1 39 2" xfId="2747" xr:uid="{00000000-0005-0000-0000-000004070000}"/>
    <cellStyle name="Énfasis1 4" xfId="1109" xr:uid="{00000000-0005-0000-0000-000005070000}"/>
    <cellStyle name="Énfasis1 40" xfId="1110" xr:uid="{00000000-0005-0000-0000-000006070000}"/>
    <cellStyle name="Énfasis1 40 2" xfId="2748" xr:uid="{00000000-0005-0000-0000-000007070000}"/>
    <cellStyle name="Énfasis1 41" xfId="1111" xr:uid="{00000000-0005-0000-0000-000008070000}"/>
    <cellStyle name="Énfasis1 41 2" xfId="2749" xr:uid="{00000000-0005-0000-0000-000009070000}"/>
    <cellStyle name="Énfasis1 42" xfId="1112" xr:uid="{00000000-0005-0000-0000-00000A070000}"/>
    <cellStyle name="Énfasis1 42 2" xfId="2750" xr:uid="{00000000-0005-0000-0000-00000B070000}"/>
    <cellStyle name="Énfasis1 43" xfId="1113" xr:uid="{00000000-0005-0000-0000-00000C070000}"/>
    <cellStyle name="Énfasis1 43 2" xfId="2751" xr:uid="{00000000-0005-0000-0000-00000D070000}"/>
    <cellStyle name="Énfasis1 44" xfId="1114" xr:uid="{00000000-0005-0000-0000-00000E070000}"/>
    <cellStyle name="Énfasis1 44 2" xfId="2752" xr:uid="{00000000-0005-0000-0000-00000F070000}"/>
    <cellStyle name="Énfasis1 45" xfId="1115" xr:uid="{00000000-0005-0000-0000-000010070000}"/>
    <cellStyle name="Énfasis1 45 2" xfId="2753" xr:uid="{00000000-0005-0000-0000-000011070000}"/>
    <cellStyle name="Énfasis1 46" xfId="1116" xr:uid="{00000000-0005-0000-0000-000012070000}"/>
    <cellStyle name="Énfasis1 5" xfId="1117" xr:uid="{00000000-0005-0000-0000-000013070000}"/>
    <cellStyle name="Énfasis1 6" xfId="1118" xr:uid="{00000000-0005-0000-0000-000014070000}"/>
    <cellStyle name="Énfasis1 7" xfId="1119" xr:uid="{00000000-0005-0000-0000-000015070000}"/>
    <cellStyle name="Énfasis1 8" xfId="1120" xr:uid="{00000000-0005-0000-0000-000016070000}"/>
    <cellStyle name="Énfasis1 9" xfId="1121" xr:uid="{00000000-0005-0000-0000-000017070000}"/>
    <cellStyle name="Énfasis2" xfId="2062" builtinId="33" customBuiltin="1"/>
    <cellStyle name="Énfasis2 1" xfId="1122" xr:uid="{00000000-0005-0000-0000-000019070000}"/>
    <cellStyle name="Énfasis2 10" xfId="1123" xr:uid="{00000000-0005-0000-0000-00001A070000}"/>
    <cellStyle name="Énfasis2 11" xfId="1124" xr:uid="{00000000-0005-0000-0000-00001B070000}"/>
    <cellStyle name="Énfasis2 12" xfId="1125" xr:uid="{00000000-0005-0000-0000-00001C070000}"/>
    <cellStyle name="Énfasis2 13" xfId="1126" xr:uid="{00000000-0005-0000-0000-00001D070000}"/>
    <cellStyle name="Énfasis2 14" xfId="1127" xr:uid="{00000000-0005-0000-0000-00001E070000}"/>
    <cellStyle name="Énfasis2 15" xfId="1128" xr:uid="{00000000-0005-0000-0000-00001F070000}"/>
    <cellStyle name="Énfasis2 16" xfId="1129" xr:uid="{00000000-0005-0000-0000-000020070000}"/>
    <cellStyle name="Énfasis2 17" xfId="1130" xr:uid="{00000000-0005-0000-0000-000021070000}"/>
    <cellStyle name="Énfasis2 18" xfId="1131" xr:uid="{00000000-0005-0000-0000-000022070000}"/>
    <cellStyle name="Énfasis2 19" xfId="1132" xr:uid="{00000000-0005-0000-0000-000023070000}"/>
    <cellStyle name="Énfasis2 2" xfId="1133" xr:uid="{00000000-0005-0000-0000-000024070000}"/>
    <cellStyle name="Énfasis2 20" xfId="1134" xr:uid="{00000000-0005-0000-0000-000025070000}"/>
    <cellStyle name="Énfasis2 21" xfId="1135" xr:uid="{00000000-0005-0000-0000-000026070000}"/>
    <cellStyle name="Énfasis2 22" xfId="1136" xr:uid="{00000000-0005-0000-0000-000027070000}"/>
    <cellStyle name="Énfasis2 23" xfId="1137" xr:uid="{00000000-0005-0000-0000-000028070000}"/>
    <cellStyle name="Énfasis2 24" xfId="1138" xr:uid="{00000000-0005-0000-0000-000029070000}"/>
    <cellStyle name="Énfasis2 25" xfId="1139" xr:uid="{00000000-0005-0000-0000-00002A070000}"/>
    <cellStyle name="Énfasis2 26" xfId="1140" xr:uid="{00000000-0005-0000-0000-00002B070000}"/>
    <cellStyle name="Énfasis2 27" xfId="1141" xr:uid="{00000000-0005-0000-0000-00002C070000}"/>
    <cellStyle name="Énfasis2 28" xfId="1142" xr:uid="{00000000-0005-0000-0000-00002D070000}"/>
    <cellStyle name="Énfasis2 29" xfId="1143" xr:uid="{00000000-0005-0000-0000-00002E070000}"/>
    <cellStyle name="Énfasis2 3" xfId="1144" xr:uid="{00000000-0005-0000-0000-00002F070000}"/>
    <cellStyle name="Énfasis2 30" xfId="1145" xr:uid="{00000000-0005-0000-0000-000030070000}"/>
    <cellStyle name="Énfasis2 31" xfId="1146" xr:uid="{00000000-0005-0000-0000-000031070000}"/>
    <cellStyle name="Énfasis2 32" xfId="1147" xr:uid="{00000000-0005-0000-0000-000032070000}"/>
    <cellStyle name="Énfasis2 33" xfId="1148" xr:uid="{00000000-0005-0000-0000-000033070000}"/>
    <cellStyle name="Énfasis2 34" xfId="1149" xr:uid="{00000000-0005-0000-0000-000034070000}"/>
    <cellStyle name="Énfasis2 35" xfId="1150" xr:uid="{00000000-0005-0000-0000-000035070000}"/>
    <cellStyle name="Énfasis2 36" xfId="1151" xr:uid="{00000000-0005-0000-0000-000036070000}"/>
    <cellStyle name="Énfasis2 37" xfId="1152" xr:uid="{00000000-0005-0000-0000-000037070000}"/>
    <cellStyle name="Énfasis2 37 2" xfId="2754" xr:uid="{00000000-0005-0000-0000-000038070000}"/>
    <cellStyle name="Énfasis2 38" xfId="1153" xr:uid="{00000000-0005-0000-0000-000039070000}"/>
    <cellStyle name="Énfasis2 38 2" xfId="2755" xr:uid="{00000000-0005-0000-0000-00003A070000}"/>
    <cellStyle name="Énfasis2 39" xfId="1154" xr:uid="{00000000-0005-0000-0000-00003B070000}"/>
    <cellStyle name="Énfasis2 39 2" xfId="2756" xr:uid="{00000000-0005-0000-0000-00003C070000}"/>
    <cellStyle name="Énfasis2 4" xfId="1155" xr:uid="{00000000-0005-0000-0000-00003D070000}"/>
    <cellStyle name="Énfasis2 40" xfId="1156" xr:uid="{00000000-0005-0000-0000-00003E070000}"/>
    <cellStyle name="Énfasis2 40 2" xfId="2757" xr:uid="{00000000-0005-0000-0000-00003F070000}"/>
    <cellStyle name="Énfasis2 41" xfId="1157" xr:uid="{00000000-0005-0000-0000-000040070000}"/>
    <cellStyle name="Énfasis2 41 2" xfId="2758" xr:uid="{00000000-0005-0000-0000-000041070000}"/>
    <cellStyle name="Énfasis2 42" xfId="1158" xr:uid="{00000000-0005-0000-0000-000042070000}"/>
    <cellStyle name="Énfasis2 42 2" xfId="2759" xr:uid="{00000000-0005-0000-0000-000043070000}"/>
    <cellStyle name="Énfasis2 43" xfId="1159" xr:uid="{00000000-0005-0000-0000-000044070000}"/>
    <cellStyle name="Énfasis2 43 2" xfId="2760" xr:uid="{00000000-0005-0000-0000-000045070000}"/>
    <cellStyle name="Énfasis2 44" xfId="1160" xr:uid="{00000000-0005-0000-0000-000046070000}"/>
    <cellStyle name="Énfasis2 44 2" xfId="2761" xr:uid="{00000000-0005-0000-0000-000047070000}"/>
    <cellStyle name="Énfasis2 45" xfId="1161" xr:uid="{00000000-0005-0000-0000-000048070000}"/>
    <cellStyle name="Énfasis2 45 2" xfId="2762" xr:uid="{00000000-0005-0000-0000-000049070000}"/>
    <cellStyle name="Énfasis2 46" xfId="1162" xr:uid="{00000000-0005-0000-0000-00004A070000}"/>
    <cellStyle name="Énfasis2 5" xfId="1163" xr:uid="{00000000-0005-0000-0000-00004B070000}"/>
    <cellStyle name="Énfasis2 6" xfId="1164" xr:uid="{00000000-0005-0000-0000-00004C070000}"/>
    <cellStyle name="Énfasis2 7" xfId="1165" xr:uid="{00000000-0005-0000-0000-00004D070000}"/>
    <cellStyle name="Énfasis2 8" xfId="1166" xr:uid="{00000000-0005-0000-0000-00004E070000}"/>
    <cellStyle name="Énfasis2 9" xfId="1167" xr:uid="{00000000-0005-0000-0000-00004F070000}"/>
    <cellStyle name="Énfasis3" xfId="2066" builtinId="37" customBuiltin="1"/>
    <cellStyle name="Énfasis3 1" xfId="1168" xr:uid="{00000000-0005-0000-0000-000051070000}"/>
    <cellStyle name="Énfasis3 10" xfId="1169" xr:uid="{00000000-0005-0000-0000-000052070000}"/>
    <cellStyle name="Énfasis3 11" xfId="1170" xr:uid="{00000000-0005-0000-0000-000053070000}"/>
    <cellStyle name="Énfasis3 12" xfId="1171" xr:uid="{00000000-0005-0000-0000-000054070000}"/>
    <cellStyle name="Énfasis3 13" xfId="1172" xr:uid="{00000000-0005-0000-0000-000055070000}"/>
    <cellStyle name="Énfasis3 14" xfId="1173" xr:uid="{00000000-0005-0000-0000-000056070000}"/>
    <cellStyle name="Énfasis3 15" xfId="1174" xr:uid="{00000000-0005-0000-0000-000057070000}"/>
    <cellStyle name="Énfasis3 16" xfId="1175" xr:uid="{00000000-0005-0000-0000-000058070000}"/>
    <cellStyle name="Énfasis3 17" xfId="1176" xr:uid="{00000000-0005-0000-0000-000059070000}"/>
    <cellStyle name="Énfasis3 18" xfId="1177" xr:uid="{00000000-0005-0000-0000-00005A070000}"/>
    <cellStyle name="Énfasis3 19" xfId="1178" xr:uid="{00000000-0005-0000-0000-00005B070000}"/>
    <cellStyle name="Énfasis3 2" xfId="1179" xr:uid="{00000000-0005-0000-0000-00005C070000}"/>
    <cellStyle name="Énfasis3 20" xfId="1180" xr:uid="{00000000-0005-0000-0000-00005D070000}"/>
    <cellStyle name="Énfasis3 21" xfId="1181" xr:uid="{00000000-0005-0000-0000-00005E070000}"/>
    <cellStyle name="Énfasis3 22" xfId="1182" xr:uid="{00000000-0005-0000-0000-00005F070000}"/>
    <cellStyle name="Énfasis3 23" xfId="1183" xr:uid="{00000000-0005-0000-0000-000060070000}"/>
    <cellStyle name="Énfasis3 24" xfId="1184" xr:uid="{00000000-0005-0000-0000-000061070000}"/>
    <cellStyle name="Énfasis3 25" xfId="1185" xr:uid="{00000000-0005-0000-0000-000062070000}"/>
    <cellStyle name="Énfasis3 26" xfId="1186" xr:uid="{00000000-0005-0000-0000-000063070000}"/>
    <cellStyle name="Énfasis3 27" xfId="1187" xr:uid="{00000000-0005-0000-0000-000064070000}"/>
    <cellStyle name="Énfasis3 28" xfId="1188" xr:uid="{00000000-0005-0000-0000-000065070000}"/>
    <cellStyle name="Énfasis3 29" xfId="1189" xr:uid="{00000000-0005-0000-0000-000066070000}"/>
    <cellStyle name="Énfasis3 3" xfId="1190" xr:uid="{00000000-0005-0000-0000-000067070000}"/>
    <cellStyle name="Énfasis3 30" xfId="1191" xr:uid="{00000000-0005-0000-0000-000068070000}"/>
    <cellStyle name="Énfasis3 31" xfId="1192" xr:uid="{00000000-0005-0000-0000-000069070000}"/>
    <cellStyle name="Énfasis3 32" xfId="1193" xr:uid="{00000000-0005-0000-0000-00006A070000}"/>
    <cellStyle name="Énfasis3 33" xfId="1194" xr:uid="{00000000-0005-0000-0000-00006B070000}"/>
    <cellStyle name="Énfasis3 34" xfId="1195" xr:uid="{00000000-0005-0000-0000-00006C070000}"/>
    <cellStyle name="Énfasis3 35" xfId="1196" xr:uid="{00000000-0005-0000-0000-00006D070000}"/>
    <cellStyle name="Énfasis3 36" xfId="1197" xr:uid="{00000000-0005-0000-0000-00006E070000}"/>
    <cellStyle name="Énfasis3 37" xfId="1198" xr:uid="{00000000-0005-0000-0000-00006F070000}"/>
    <cellStyle name="Énfasis3 37 2" xfId="2763" xr:uid="{00000000-0005-0000-0000-000070070000}"/>
    <cellStyle name="Énfasis3 38" xfId="1199" xr:uid="{00000000-0005-0000-0000-000071070000}"/>
    <cellStyle name="Énfasis3 38 2" xfId="2764" xr:uid="{00000000-0005-0000-0000-000072070000}"/>
    <cellStyle name="Énfasis3 39" xfId="1200" xr:uid="{00000000-0005-0000-0000-000073070000}"/>
    <cellStyle name="Énfasis3 39 2" xfId="2765" xr:uid="{00000000-0005-0000-0000-000074070000}"/>
    <cellStyle name="Énfasis3 4" xfId="1201" xr:uid="{00000000-0005-0000-0000-000075070000}"/>
    <cellStyle name="Énfasis3 40" xfId="1202" xr:uid="{00000000-0005-0000-0000-000076070000}"/>
    <cellStyle name="Énfasis3 40 2" xfId="2766" xr:uid="{00000000-0005-0000-0000-000077070000}"/>
    <cellStyle name="Énfasis3 41" xfId="1203" xr:uid="{00000000-0005-0000-0000-000078070000}"/>
    <cellStyle name="Énfasis3 41 2" xfId="2767" xr:uid="{00000000-0005-0000-0000-000079070000}"/>
    <cellStyle name="Énfasis3 42" xfId="1204" xr:uid="{00000000-0005-0000-0000-00007A070000}"/>
    <cellStyle name="Énfasis3 42 2" xfId="2768" xr:uid="{00000000-0005-0000-0000-00007B070000}"/>
    <cellStyle name="Énfasis3 43" xfId="1205" xr:uid="{00000000-0005-0000-0000-00007C070000}"/>
    <cellStyle name="Énfasis3 43 2" xfId="2769" xr:uid="{00000000-0005-0000-0000-00007D070000}"/>
    <cellStyle name="Énfasis3 44" xfId="1206" xr:uid="{00000000-0005-0000-0000-00007E070000}"/>
    <cellStyle name="Énfasis3 44 2" xfId="2770" xr:uid="{00000000-0005-0000-0000-00007F070000}"/>
    <cellStyle name="Énfasis3 45" xfId="1207" xr:uid="{00000000-0005-0000-0000-000080070000}"/>
    <cellStyle name="Énfasis3 45 2" xfId="2771" xr:uid="{00000000-0005-0000-0000-000081070000}"/>
    <cellStyle name="Énfasis3 46" xfId="1208" xr:uid="{00000000-0005-0000-0000-000082070000}"/>
    <cellStyle name="Énfasis3 5" xfId="1209" xr:uid="{00000000-0005-0000-0000-000083070000}"/>
    <cellStyle name="Énfasis3 6" xfId="1210" xr:uid="{00000000-0005-0000-0000-000084070000}"/>
    <cellStyle name="Énfasis3 7" xfId="1211" xr:uid="{00000000-0005-0000-0000-000085070000}"/>
    <cellStyle name="Énfasis3 8" xfId="1212" xr:uid="{00000000-0005-0000-0000-000086070000}"/>
    <cellStyle name="Énfasis3 9" xfId="1213" xr:uid="{00000000-0005-0000-0000-000087070000}"/>
    <cellStyle name="Énfasis4" xfId="2070" builtinId="41" customBuiltin="1"/>
    <cellStyle name="Énfasis4 1" xfId="1214" xr:uid="{00000000-0005-0000-0000-000089070000}"/>
    <cellStyle name="Énfasis4 10" xfId="1215" xr:uid="{00000000-0005-0000-0000-00008A070000}"/>
    <cellStyle name="Énfasis4 11" xfId="1216" xr:uid="{00000000-0005-0000-0000-00008B070000}"/>
    <cellStyle name="Énfasis4 12" xfId="1217" xr:uid="{00000000-0005-0000-0000-00008C070000}"/>
    <cellStyle name="Énfasis4 13" xfId="1218" xr:uid="{00000000-0005-0000-0000-00008D070000}"/>
    <cellStyle name="Énfasis4 14" xfId="1219" xr:uid="{00000000-0005-0000-0000-00008E070000}"/>
    <cellStyle name="Énfasis4 15" xfId="1220" xr:uid="{00000000-0005-0000-0000-00008F070000}"/>
    <cellStyle name="Énfasis4 16" xfId="1221" xr:uid="{00000000-0005-0000-0000-000090070000}"/>
    <cellStyle name="Énfasis4 17" xfId="1222" xr:uid="{00000000-0005-0000-0000-000091070000}"/>
    <cellStyle name="Énfasis4 18" xfId="1223" xr:uid="{00000000-0005-0000-0000-000092070000}"/>
    <cellStyle name="Énfasis4 19" xfId="1224" xr:uid="{00000000-0005-0000-0000-000093070000}"/>
    <cellStyle name="Énfasis4 2" xfId="1225" xr:uid="{00000000-0005-0000-0000-000094070000}"/>
    <cellStyle name="Énfasis4 20" xfId="1226" xr:uid="{00000000-0005-0000-0000-000095070000}"/>
    <cellStyle name="Énfasis4 21" xfId="1227" xr:uid="{00000000-0005-0000-0000-000096070000}"/>
    <cellStyle name="Énfasis4 22" xfId="1228" xr:uid="{00000000-0005-0000-0000-000097070000}"/>
    <cellStyle name="Énfasis4 23" xfId="1229" xr:uid="{00000000-0005-0000-0000-000098070000}"/>
    <cellStyle name="Énfasis4 24" xfId="1230" xr:uid="{00000000-0005-0000-0000-000099070000}"/>
    <cellStyle name="Énfasis4 25" xfId="1231" xr:uid="{00000000-0005-0000-0000-00009A070000}"/>
    <cellStyle name="Énfasis4 26" xfId="1232" xr:uid="{00000000-0005-0000-0000-00009B070000}"/>
    <cellStyle name="Énfasis4 27" xfId="1233" xr:uid="{00000000-0005-0000-0000-00009C070000}"/>
    <cellStyle name="Énfasis4 28" xfId="1234" xr:uid="{00000000-0005-0000-0000-00009D070000}"/>
    <cellStyle name="Énfasis4 29" xfId="1235" xr:uid="{00000000-0005-0000-0000-00009E070000}"/>
    <cellStyle name="Énfasis4 3" xfId="1236" xr:uid="{00000000-0005-0000-0000-00009F070000}"/>
    <cellStyle name="Énfasis4 30" xfId="1237" xr:uid="{00000000-0005-0000-0000-0000A0070000}"/>
    <cellStyle name="Énfasis4 31" xfId="1238" xr:uid="{00000000-0005-0000-0000-0000A1070000}"/>
    <cellStyle name="Énfasis4 32" xfId="1239" xr:uid="{00000000-0005-0000-0000-0000A2070000}"/>
    <cellStyle name="Énfasis4 33" xfId="1240" xr:uid="{00000000-0005-0000-0000-0000A3070000}"/>
    <cellStyle name="Énfasis4 34" xfId="1241" xr:uid="{00000000-0005-0000-0000-0000A4070000}"/>
    <cellStyle name="Énfasis4 35" xfId="1242" xr:uid="{00000000-0005-0000-0000-0000A5070000}"/>
    <cellStyle name="Énfasis4 36" xfId="1243" xr:uid="{00000000-0005-0000-0000-0000A6070000}"/>
    <cellStyle name="Énfasis4 37" xfId="1244" xr:uid="{00000000-0005-0000-0000-0000A7070000}"/>
    <cellStyle name="Énfasis4 37 2" xfId="2772" xr:uid="{00000000-0005-0000-0000-0000A8070000}"/>
    <cellStyle name="Énfasis4 38" xfId="1245" xr:uid="{00000000-0005-0000-0000-0000A9070000}"/>
    <cellStyle name="Énfasis4 38 2" xfId="2773" xr:uid="{00000000-0005-0000-0000-0000AA070000}"/>
    <cellStyle name="Énfasis4 39" xfId="1246" xr:uid="{00000000-0005-0000-0000-0000AB070000}"/>
    <cellStyle name="Énfasis4 39 2" xfId="2774" xr:uid="{00000000-0005-0000-0000-0000AC070000}"/>
    <cellStyle name="Énfasis4 4" xfId="1247" xr:uid="{00000000-0005-0000-0000-0000AD070000}"/>
    <cellStyle name="Énfasis4 40" xfId="1248" xr:uid="{00000000-0005-0000-0000-0000AE070000}"/>
    <cellStyle name="Énfasis4 40 2" xfId="2775" xr:uid="{00000000-0005-0000-0000-0000AF070000}"/>
    <cellStyle name="Énfasis4 41" xfId="1249" xr:uid="{00000000-0005-0000-0000-0000B0070000}"/>
    <cellStyle name="Énfasis4 41 2" xfId="2776" xr:uid="{00000000-0005-0000-0000-0000B1070000}"/>
    <cellStyle name="Énfasis4 42" xfId="1250" xr:uid="{00000000-0005-0000-0000-0000B2070000}"/>
    <cellStyle name="Énfasis4 42 2" xfId="2777" xr:uid="{00000000-0005-0000-0000-0000B3070000}"/>
    <cellStyle name="Énfasis4 43" xfId="1251" xr:uid="{00000000-0005-0000-0000-0000B4070000}"/>
    <cellStyle name="Énfasis4 43 2" xfId="2778" xr:uid="{00000000-0005-0000-0000-0000B5070000}"/>
    <cellStyle name="Énfasis4 44" xfId="1252" xr:uid="{00000000-0005-0000-0000-0000B6070000}"/>
    <cellStyle name="Énfasis4 44 2" xfId="2779" xr:uid="{00000000-0005-0000-0000-0000B7070000}"/>
    <cellStyle name="Énfasis4 45" xfId="1253" xr:uid="{00000000-0005-0000-0000-0000B8070000}"/>
    <cellStyle name="Énfasis4 45 2" xfId="2780" xr:uid="{00000000-0005-0000-0000-0000B9070000}"/>
    <cellStyle name="Énfasis4 46" xfId="1254" xr:uid="{00000000-0005-0000-0000-0000BA070000}"/>
    <cellStyle name="Énfasis4 5" xfId="1255" xr:uid="{00000000-0005-0000-0000-0000BB070000}"/>
    <cellStyle name="Énfasis4 6" xfId="1256" xr:uid="{00000000-0005-0000-0000-0000BC070000}"/>
    <cellStyle name="Énfasis4 7" xfId="1257" xr:uid="{00000000-0005-0000-0000-0000BD070000}"/>
    <cellStyle name="Énfasis4 8" xfId="1258" xr:uid="{00000000-0005-0000-0000-0000BE070000}"/>
    <cellStyle name="Énfasis4 9" xfId="1259" xr:uid="{00000000-0005-0000-0000-0000BF070000}"/>
    <cellStyle name="Énfasis5" xfId="2074" builtinId="45" customBuiltin="1"/>
    <cellStyle name="Énfasis5 1" xfId="1260" xr:uid="{00000000-0005-0000-0000-0000C1070000}"/>
    <cellStyle name="Énfasis5 10" xfId="1261" xr:uid="{00000000-0005-0000-0000-0000C2070000}"/>
    <cellStyle name="Énfasis5 11" xfId="1262" xr:uid="{00000000-0005-0000-0000-0000C3070000}"/>
    <cellStyle name="Énfasis5 12" xfId="1263" xr:uid="{00000000-0005-0000-0000-0000C4070000}"/>
    <cellStyle name="Énfasis5 13" xfId="1264" xr:uid="{00000000-0005-0000-0000-0000C5070000}"/>
    <cellStyle name="Énfasis5 14" xfId="1265" xr:uid="{00000000-0005-0000-0000-0000C6070000}"/>
    <cellStyle name="Énfasis5 15" xfId="1266" xr:uid="{00000000-0005-0000-0000-0000C7070000}"/>
    <cellStyle name="Énfasis5 16" xfId="1267" xr:uid="{00000000-0005-0000-0000-0000C8070000}"/>
    <cellStyle name="Énfasis5 17" xfId="1268" xr:uid="{00000000-0005-0000-0000-0000C9070000}"/>
    <cellStyle name="Énfasis5 18" xfId="1269" xr:uid="{00000000-0005-0000-0000-0000CA070000}"/>
    <cellStyle name="Énfasis5 19" xfId="1270" xr:uid="{00000000-0005-0000-0000-0000CB070000}"/>
    <cellStyle name="Énfasis5 2" xfId="1271" xr:uid="{00000000-0005-0000-0000-0000CC070000}"/>
    <cellStyle name="Énfasis5 20" xfId="1272" xr:uid="{00000000-0005-0000-0000-0000CD070000}"/>
    <cellStyle name="Énfasis5 21" xfId="1273" xr:uid="{00000000-0005-0000-0000-0000CE070000}"/>
    <cellStyle name="Énfasis5 22" xfId="1274" xr:uid="{00000000-0005-0000-0000-0000CF070000}"/>
    <cellStyle name="Énfasis5 23" xfId="1275" xr:uid="{00000000-0005-0000-0000-0000D0070000}"/>
    <cellStyle name="Énfasis5 24" xfId="1276" xr:uid="{00000000-0005-0000-0000-0000D1070000}"/>
    <cellStyle name="Énfasis5 25" xfId="1277" xr:uid="{00000000-0005-0000-0000-0000D2070000}"/>
    <cellStyle name="Énfasis5 26" xfId="1278" xr:uid="{00000000-0005-0000-0000-0000D3070000}"/>
    <cellStyle name="Énfasis5 27" xfId="1279" xr:uid="{00000000-0005-0000-0000-0000D4070000}"/>
    <cellStyle name="Énfasis5 28" xfId="1280" xr:uid="{00000000-0005-0000-0000-0000D5070000}"/>
    <cellStyle name="Énfasis5 29" xfId="1281" xr:uid="{00000000-0005-0000-0000-0000D6070000}"/>
    <cellStyle name="Énfasis5 3" xfId="1282" xr:uid="{00000000-0005-0000-0000-0000D7070000}"/>
    <cellStyle name="Énfasis5 30" xfId="1283" xr:uid="{00000000-0005-0000-0000-0000D8070000}"/>
    <cellStyle name="Énfasis5 31" xfId="1284" xr:uid="{00000000-0005-0000-0000-0000D9070000}"/>
    <cellStyle name="Énfasis5 32" xfId="1285" xr:uid="{00000000-0005-0000-0000-0000DA070000}"/>
    <cellStyle name="Énfasis5 33" xfId="1286" xr:uid="{00000000-0005-0000-0000-0000DB070000}"/>
    <cellStyle name="Énfasis5 34" xfId="1287" xr:uid="{00000000-0005-0000-0000-0000DC070000}"/>
    <cellStyle name="Énfasis5 35" xfId="1288" xr:uid="{00000000-0005-0000-0000-0000DD070000}"/>
    <cellStyle name="Énfasis5 36" xfId="1289" xr:uid="{00000000-0005-0000-0000-0000DE070000}"/>
    <cellStyle name="Énfasis5 37" xfId="1290" xr:uid="{00000000-0005-0000-0000-0000DF070000}"/>
    <cellStyle name="Énfasis5 37 2" xfId="2781" xr:uid="{00000000-0005-0000-0000-0000E0070000}"/>
    <cellStyle name="Énfasis5 38" xfId="1291" xr:uid="{00000000-0005-0000-0000-0000E1070000}"/>
    <cellStyle name="Énfasis5 38 2" xfId="2782" xr:uid="{00000000-0005-0000-0000-0000E2070000}"/>
    <cellStyle name="Énfasis5 39" xfId="1292" xr:uid="{00000000-0005-0000-0000-0000E3070000}"/>
    <cellStyle name="Énfasis5 39 2" xfId="2783" xr:uid="{00000000-0005-0000-0000-0000E4070000}"/>
    <cellStyle name="Énfasis5 4" xfId="1293" xr:uid="{00000000-0005-0000-0000-0000E5070000}"/>
    <cellStyle name="Énfasis5 40" xfId="1294" xr:uid="{00000000-0005-0000-0000-0000E6070000}"/>
    <cellStyle name="Énfasis5 40 2" xfId="2784" xr:uid="{00000000-0005-0000-0000-0000E7070000}"/>
    <cellStyle name="Énfasis5 41" xfId="1295" xr:uid="{00000000-0005-0000-0000-0000E8070000}"/>
    <cellStyle name="Énfasis5 41 2" xfId="2785" xr:uid="{00000000-0005-0000-0000-0000E9070000}"/>
    <cellStyle name="Énfasis5 42" xfId="1296" xr:uid="{00000000-0005-0000-0000-0000EA070000}"/>
    <cellStyle name="Énfasis5 42 2" xfId="2786" xr:uid="{00000000-0005-0000-0000-0000EB070000}"/>
    <cellStyle name="Énfasis5 43" xfId="1297" xr:uid="{00000000-0005-0000-0000-0000EC070000}"/>
    <cellStyle name="Énfasis5 43 2" xfId="2787" xr:uid="{00000000-0005-0000-0000-0000ED070000}"/>
    <cellStyle name="Énfasis5 44" xfId="1298" xr:uid="{00000000-0005-0000-0000-0000EE070000}"/>
    <cellStyle name="Énfasis5 44 2" xfId="2788" xr:uid="{00000000-0005-0000-0000-0000EF070000}"/>
    <cellStyle name="Énfasis5 45" xfId="1299" xr:uid="{00000000-0005-0000-0000-0000F0070000}"/>
    <cellStyle name="Énfasis5 45 2" xfId="2789" xr:uid="{00000000-0005-0000-0000-0000F1070000}"/>
    <cellStyle name="Énfasis5 46" xfId="1300" xr:uid="{00000000-0005-0000-0000-0000F2070000}"/>
    <cellStyle name="Énfasis5 5" xfId="1301" xr:uid="{00000000-0005-0000-0000-0000F3070000}"/>
    <cellStyle name="Énfasis5 6" xfId="1302" xr:uid="{00000000-0005-0000-0000-0000F4070000}"/>
    <cellStyle name="Énfasis5 7" xfId="1303" xr:uid="{00000000-0005-0000-0000-0000F5070000}"/>
    <cellStyle name="Énfasis5 8" xfId="1304" xr:uid="{00000000-0005-0000-0000-0000F6070000}"/>
    <cellStyle name="Énfasis5 9" xfId="1305" xr:uid="{00000000-0005-0000-0000-0000F7070000}"/>
    <cellStyle name="Énfasis6" xfId="2078" builtinId="49" customBuiltin="1"/>
    <cellStyle name="Énfasis6 1" xfId="1306" xr:uid="{00000000-0005-0000-0000-0000F9070000}"/>
    <cellStyle name="Énfasis6 10" xfId="1307" xr:uid="{00000000-0005-0000-0000-0000FA070000}"/>
    <cellStyle name="Énfasis6 11" xfId="1308" xr:uid="{00000000-0005-0000-0000-0000FB070000}"/>
    <cellStyle name="Énfasis6 12" xfId="1309" xr:uid="{00000000-0005-0000-0000-0000FC070000}"/>
    <cellStyle name="Énfasis6 13" xfId="1310" xr:uid="{00000000-0005-0000-0000-0000FD070000}"/>
    <cellStyle name="Énfasis6 14" xfId="1311" xr:uid="{00000000-0005-0000-0000-0000FE070000}"/>
    <cellStyle name="Énfasis6 15" xfId="1312" xr:uid="{00000000-0005-0000-0000-0000FF070000}"/>
    <cellStyle name="Énfasis6 16" xfId="1313" xr:uid="{00000000-0005-0000-0000-000000080000}"/>
    <cellStyle name="Énfasis6 17" xfId="1314" xr:uid="{00000000-0005-0000-0000-000001080000}"/>
    <cellStyle name="Énfasis6 18" xfId="1315" xr:uid="{00000000-0005-0000-0000-000002080000}"/>
    <cellStyle name="Énfasis6 19" xfId="1316" xr:uid="{00000000-0005-0000-0000-000003080000}"/>
    <cellStyle name="Énfasis6 2" xfId="1317" xr:uid="{00000000-0005-0000-0000-000004080000}"/>
    <cellStyle name="Énfasis6 20" xfId="1318" xr:uid="{00000000-0005-0000-0000-000005080000}"/>
    <cellStyle name="Énfasis6 21" xfId="1319" xr:uid="{00000000-0005-0000-0000-000006080000}"/>
    <cellStyle name="Énfasis6 22" xfId="1320" xr:uid="{00000000-0005-0000-0000-000007080000}"/>
    <cellStyle name="Énfasis6 23" xfId="1321" xr:uid="{00000000-0005-0000-0000-000008080000}"/>
    <cellStyle name="Énfasis6 24" xfId="1322" xr:uid="{00000000-0005-0000-0000-000009080000}"/>
    <cellStyle name="Énfasis6 25" xfId="1323" xr:uid="{00000000-0005-0000-0000-00000A080000}"/>
    <cellStyle name="Énfasis6 26" xfId="1324" xr:uid="{00000000-0005-0000-0000-00000B080000}"/>
    <cellStyle name="Énfasis6 27" xfId="1325" xr:uid="{00000000-0005-0000-0000-00000C080000}"/>
    <cellStyle name="Énfasis6 28" xfId="1326" xr:uid="{00000000-0005-0000-0000-00000D080000}"/>
    <cellStyle name="Énfasis6 29" xfId="1327" xr:uid="{00000000-0005-0000-0000-00000E080000}"/>
    <cellStyle name="Énfasis6 3" xfId="1328" xr:uid="{00000000-0005-0000-0000-00000F080000}"/>
    <cellStyle name="Énfasis6 30" xfId="1329" xr:uid="{00000000-0005-0000-0000-000010080000}"/>
    <cellStyle name="Énfasis6 31" xfId="1330" xr:uid="{00000000-0005-0000-0000-000011080000}"/>
    <cellStyle name="Énfasis6 32" xfId="1331" xr:uid="{00000000-0005-0000-0000-000012080000}"/>
    <cellStyle name="Énfasis6 33" xfId="1332" xr:uid="{00000000-0005-0000-0000-000013080000}"/>
    <cellStyle name="Énfasis6 34" xfId="1333" xr:uid="{00000000-0005-0000-0000-000014080000}"/>
    <cellStyle name="Énfasis6 35" xfId="1334" xr:uid="{00000000-0005-0000-0000-000015080000}"/>
    <cellStyle name="Énfasis6 36" xfId="1335" xr:uid="{00000000-0005-0000-0000-000016080000}"/>
    <cellStyle name="Énfasis6 37" xfId="1336" xr:uid="{00000000-0005-0000-0000-000017080000}"/>
    <cellStyle name="Énfasis6 37 2" xfId="2790" xr:uid="{00000000-0005-0000-0000-000018080000}"/>
    <cellStyle name="Énfasis6 38" xfId="1337" xr:uid="{00000000-0005-0000-0000-000019080000}"/>
    <cellStyle name="Énfasis6 38 2" xfId="2791" xr:uid="{00000000-0005-0000-0000-00001A080000}"/>
    <cellStyle name="Énfasis6 39" xfId="1338" xr:uid="{00000000-0005-0000-0000-00001B080000}"/>
    <cellStyle name="Énfasis6 39 2" xfId="2792" xr:uid="{00000000-0005-0000-0000-00001C080000}"/>
    <cellStyle name="Énfasis6 4" xfId="1339" xr:uid="{00000000-0005-0000-0000-00001D080000}"/>
    <cellStyle name="Énfasis6 40" xfId="1340" xr:uid="{00000000-0005-0000-0000-00001E080000}"/>
    <cellStyle name="Énfasis6 40 2" xfId="2793" xr:uid="{00000000-0005-0000-0000-00001F080000}"/>
    <cellStyle name="Énfasis6 41" xfId="1341" xr:uid="{00000000-0005-0000-0000-000020080000}"/>
    <cellStyle name="Énfasis6 41 2" xfId="2794" xr:uid="{00000000-0005-0000-0000-000021080000}"/>
    <cellStyle name="Énfasis6 42" xfId="1342" xr:uid="{00000000-0005-0000-0000-000022080000}"/>
    <cellStyle name="Énfasis6 42 2" xfId="2795" xr:uid="{00000000-0005-0000-0000-000023080000}"/>
    <cellStyle name="Énfasis6 43" xfId="1343" xr:uid="{00000000-0005-0000-0000-000024080000}"/>
    <cellStyle name="Énfasis6 43 2" xfId="2796" xr:uid="{00000000-0005-0000-0000-000025080000}"/>
    <cellStyle name="Énfasis6 44" xfId="1344" xr:uid="{00000000-0005-0000-0000-000026080000}"/>
    <cellStyle name="Énfasis6 44 2" xfId="2797" xr:uid="{00000000-0005-0000-0000-000027080000}"/>
    <cellStyle name="Énfasis6 45" xfId="1345" xr:uid="{00000000-0005-0000-0000-000028080000}"/>
    <cellStyle name="Énfasis6 45 2" xfId="2798" xr:uid="{00000000-0005-0000-0000-000029080000}"/>
    <cellStyle name="Énfasis6 46" xfId="1346" xr:uid="{00000000-0005-0000-0000-00002A080000}"/>
    <cellStyle name="Énfasis6 5" xfId="1347" xr:uid="{00000000-0005-0000-0000-00002B080000}"/>
    <cellStyle name="Énfasis6 6" xfId="1348" xr:uid="{00000000-0005-0000-0000-00002C080000}"/>
    <cellStyle name="Énfasis6 7" xfId="1349" xr:uid="{00000000-0005-0000-0000-00002D080000}"/>
    <cellStyle name="Énfasis6 8" xfId="1350" xr:uid="{00000000-0005-0000-0000-00002E080000}"/>
    <cellStyle name="Énfasis6 9" xfId="1351" xr:uid="{00000000-0005-0000-0000-00002F080000}"/>
    <cellStyle name="Entrada" xfId="2049" builtinId="20" customBuiltin="1"/>
    <cellStyle name="Entrada 1" xfId="1352" xr:uid="{00000000-0005-0000-0000-000031080000}"/>
    <cellStyle name="Entrada 10" xfId="1353" xr:uid="{00000000-0005-0000-0000-000032080000}"/>
    <cellStyle name="Entrada 11" xfId="1354" xr:uid="{00000000-0005-0000-0000-000033080000}"/>
    <cellStyle name="Entrada 12" xfId="1355" xr:uid="{00000000-0005-0000-0000-000034080000}"/>
    <cellStyle name="Entrada 13" xfId="1356" xr:uid="{00000000-0005-0000-0000-000035080000}"/>
    <cellStyle name="Entrada 14" xfId="1357" xr:uid="{00000000-0005-0000-0000-000036080000}"/>
    <cellStyle name="Entrada 15" xfId="1358" xr:uid="{00000000-0005-0000-0000-000037080000}"/>
    <cellStyle name="Entrada 16" xfId="1359" xr:uid="{00000000-0005-0000-0000-000038080000}"/>
    <cellStyle name="Entrada 17" xfId="1360" xr:uid="{00000000-0005-0000-0000-000039080000}"/>
    <cellStyle name="Entrada 18" xfId="1361" xr:uid="{00000000-0005-0000-0000-00003A080000}"/>
    <cellStyle name="Entrada 19" xfId="1362" xr:uid="{00000000-0005-0000-0000-00003B080000}"/>
    <cellStyle name="Entrada 2" xfId="1363" xr:uid="{00000000-0005-0000-0000-00003C080000}"/>
    <cellStyle name="Entrada 20" xfId="1364" xr:uid="{00000000-0005-0000-0000-00003D080000}"/>
    <cellStyle name="Entrada 21" xfId="1365" xr:uid="{00000000-0005-0000-0000-00003E080000}"/>
    <cellStyle name="Entrada 22" xfId="1366" xr:uid="{00000000-0005-0000-0000-00003F080000}"/>
    <cellStyle name="Entrada 23" xfId="1367" xr:uid="{00000000-0005-0000-0000-000040080000}"/>
    <cellStyle name="Entrada 24" xfId="1368" xr:uid="{00000000-0005-0000-0000-000041080000}"/>
    <cellStyle name="Entrada 25" xfId="1369" xr:uid="{00000000-0005-0000-0000-000042080000}"/>
    <cellStyle name="Entrada 26" xfId="1370" xr:uid="{00000000-0005-0000-0000-000043080000}"/>
    <cellStyle name="Entrada 27" xfId="1371" xr:uid="{00000000-0005-0000-0000-000044080000}"/>
    <cellStyle name="Entrada 28" xfId="1372" xr:uid="{00000000-0005-0000-0000-000045080000}"/>
    <cellStyle name="Entrada 29" xfId="1373" xr:uid="{00000000-0005-0000-0000-000046080000}"/>
    <cellStyle name="Entrada 3" xfId="1374" xr:uid="{00000000-0005-0000-0000-000047080000}"/>
    <cellStyle name="Entrada 30" xfId="1375" xr:uid="{00000000-0005-0000-0000-000048080000}"/>
    <cellStyle name="Entrada 31" xfId="1376" xr:uid="{00000000-0005-0000-0000-000049080000}"/>
    <cellStyle name="Entrada 32" xfId="1377" xr:uid="{00000000-0005-0000-0000-00004A080000}"/>
    <cellStyle name="Entrada 33" xfId="1378" xr:uid="{00000000-0005-0000-0000-00004B080000}"/>
    <cellStyle name="Entrada 34" xfId="1379" xr:uid="{00000000-0005-0000-0000-00004C080000}"/>
    <cellStyle name="Entrada 35" xfId="1380" xr:uid="{00000000-0005-0000-0000-00004D080000}"/>
    <cellStyle name="Entrada 36" xfId="1381" xr:uid="{00000000-0005-0000-0000-00004E080000}"/>
    <cellStyle name="Entrada 37" xfId="1382" xr:uid="{00000000-0005-0000-0000-00004F080000}"/>
    <cellStyle name="Entrada 37 2" xfId="2799" xr:uid="{00000000-0005-0000-0000-000050080000}"/>
    <cellStyle name="Entrada 38" xfId="1383" xr:uid="{00000000-0005-0000-0000-000051080000}"/>
    <cellStyle name="Entrada 38 2" xfId="2800" xr:uid="{00000000-0005-0000-0000-000052080000}"/>
    <cellStyle name="Entrada 39" xfId="1384" xr:uid="{00000000-0005-0000-0000-000053080000}"/>
    <cellStyle name="Entrada 39 2" xfId="2801" xr:uid="{00000000-0005-0000-0000-000054080000}"/>
    <cellStyle name="Entrada 4" xfId="1385" xr:uid="{00000000-0005-0000-0000-000055080000}"/>
    <cellStyle name="Entrada 40" xfId="1386" xr:uid="{00000000-0005-0000-0000-000056080000}"/>
    <cellStyle name="Entrada 40 2" xfId="2802" xr:uid="{00000000-0005-0000-0000-000057080000}"/>
    <cellStyle name="Entrada 41" xfId="1387" xr:uid="{00000000-0005-0000-0000-000058080000}"/>
    <cellStyle name="Entrada 41 2" xfId="2803" xr:uid="{00000000-0005-0000-0000-000059080000}"/>
    <cellStyle name="Entrada 42" xfId="1388" xr:uid="{00000000-0005-0000-0000-00005A080000}"/>
    <cellStyle name="Entrada 42 2" xfId="2804" xr:uid="{00000000-0005-0000-0000-00005B080000}"/>
    <cellStyle name="Entrada 43" xfId="1389" xr:uid="{00000000-0005-0000-0000-00005C080000}"/>
    <cellStyle name="Entrada 43 2" xfId="2805" xr:uid="{00000000-0005-0000-0000-00005D080000}"/>
    <cellStyle name="Entrada 44" xfId="1390" xr:uid="{00000000-0005-0000-0000-00005E080000}"/>
    <cellStyle name="Entrada 44 2" xfId="2806" xr:uid="{00000000-0005-0000-0000-00005F080000}"/>
    <cellStyle name="Entrada 45" xfId="1391" xr:uid="{00000000-0005-0000-0000-000060080000}"/>
    <cellStyle name="Entrada 45 2" xfId="2807" xr:uid="{00000000-0005-0000-0000-000061080000}"/>
    <cellStyle name="Entrada 46" xfId="1392" xr:uid="{00000000-0005-0000-0000-000062080000}"/>
    <cellStyle name="Entrada 5" xfId="1393" xr:uid="{00000000-0005-0000-0000-000063080000}"/>
    <cellStyle name="Entrada 6" xfId="1394" xr:uid="{00000000-0005-0000-0000-000064080000}"/>
    <cellStyle name="Entrada 7" xfId="1395" xr:uid="{00000000-0005-0000-0000-000065080000}"/>
    <cellStyle name="Entrada 8" xfId="1396" xr:uid="{00000000-0005-0000-0000-000066080000}"/>
    <cellStyle name="Entrada 9" xfId="1397" xr:uid="{00000000-0005-0000-0000-000067080000}"/>
    <cellStyle name="Euro" xfId="1398" xr:uid="{00000000-0005-0000-0000-000068080000}"/>
    <cellStyle name="Excel Built-in Normal" xfId="1399" xr:uid="{00000000-0005-0000-0000-000069080000}"/>
    <cellStyle name="Excel Built-in Normal 2" xfId="2808" xr:uid="{00000000-0005-0000-0000-00006A080000}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Incorrecto" xfId="2047" builtinId="27" customBuiltin="1"/>
    <cellStyle name="Incorrecto 1" xfId="1400" xr:uid="{00000000-0005-0000-0000-0000EE080000}"/>
    <cellStyle name="Incorrecto 10" xfId="1401" xr:uid="{00000000-0005-0000-0000-0000EF080000}"/>
    <cellStyle name="Incorrecto 11" xfId="1402" xr:uid="{00000000-0005-0000-0000-0000F0080000}"/>
    <cellStyle name="Incorrecto 12" xfId="1403" xr:uid="{00000000-0005-0000-0000-0000F1080000}"/>
    <cellStyle name="Incorrecto 13" xfId="1404" xr:uid="{00000000-0005-0000-0000-0000F2080000}"/>
    <cellStyle name="Incorrecto 14" xfId="1405" xr:uid="{00000000-0005-0000-0000-0000F3080000}"/>
    <cellStyle name="Incorrecto 15" xfId="1406" xr:uid="{00000000-0005-0000-0000-0000F4080000}"/>
    <cellStyle name="Incorrecto 16" xfId="1407" xr:uid="{00000000-0005-0000-0000-0000F5080000}"/>
    <cellStyle name="Incorrecto 17" xfId="1408" xr:uid="{00000000-0005-0000-0000-0000F6080000}"/>
    <cellStyle name="Incorrecto 18" xfId="1409" xr:uid="{00000000-0005-0000-0000-0000F7080000}"/>
    <cellStyle name="Incorrecto 19" xfId="1410" xr:uid="{00000000-0005-0000-0000-0000F8080000}"/>
    <cellStyle name="Incorrecto 2" xfId="1411" xr:uid="{00000000-0005-0000-0000-0000F9080000}"/>
    <cellStyle name="Incorrecto 20" xfId="1412" xr:uid="{00000000-0005-0000-0000-0000FA080000}"/>
    <cellStyle name="Incorrecto 21" xfId="1413" xr:uid="{00000000-0005-0000-0000-0000FB080000}"/>
    <cellStyle name="Incorrecto 22" xfId="1414" xr:uid="{00000000-0005-0000-0000-0000FC080000}"/>
    <cellStyle name="Incorrecto 23" xfId="1415" xr:uid="{00000000-0005-0000-0000-0000FD080000}"/>
    <cellStyle name="Incorrecto 24" xfId="1416" xr:uid="{00000000-0005-0000-0000-0000FE080000}"/>
    <cellStyle name="Incorrecto 25" xfId="1417" xr:uid="{00000000-0005-0000-0000-0000FF080000}"/>
    <cellStyle name="Incorrecto 26" xfId="1418" xr:uid="{00000000-0005-0000-0000-000000090000}"/>
    <cellStyle name="Incorrecto 27" xfId="1419" xr:uid="{00000000-0005-0000-0000-000001090000}"/>
    <cellStyle name="Incorrecto 28" xfId="1420" xr:uid="{00000000-0005-0000-0000-000002090000}"/>
    <cellStyle name="Incorrecto 29" xfId="1421" xr:uid="{00000000-0005-0000-0000-000003090000}"/>
    <cellStyle name="Incorrecto 3" xfId="1422" xr:uid="{00000000-0005-0000-0000-000004090000}"/>
    <cellStyle name="Incorrecto 30" xfId="1423" xr:uid="{00000000-0005-0000-0000-000005090000}"/>
    <cellStyle name="Incorrecto 31" xfId="1424" xr:uid="{00000000-0005-0000-0000-000006090000}"/>
    <cellStyle name="Incorrecto 32" xfId="1425" xr:uid="{00000000-0005-0000-0000-000007090000}"/>
    <cellStyle name="Incorrecto 33" xfId="1426" xr:uid="{00000000-0005-0000-0000-000008090000}"/>
    <cellStyle name="Incorrecto 34" xfId="1427" xr:uid="{00000000-0005-0000-0000-000009090000}"/>
    <cellStyle name="Incorrecto 35" xfId="1428" xr:uid="{00000000-0005-0000-0000-00000A090000}"/>
    <cellStyle name="Incorrecto 36" xfId="1429" xr:uid="{00000000-0005-0000-0000-00000B090000}"/>
    <cellStyle name="Incorrecto 37" xfId="1430" xr:uid="{00000000-0005-0000-0000-00000C090000}"/>
    <cellStyle name="Incorrecto 37 2" xfId="2809" xr:uid="{00000000-0005-0000-0000-00000D090000}"/>
    <cellStyle name="Incorrecto 38" xfId="1431" xr:uid="{00000000-0005-0000-0000-00000E090000}"/>
    <cellStyle name="Incorrecto 38 2" xfId="2810" xr:uid="{00000000-0005-0000-0000-00000F090000}"/>
    <cellStyle name="Incorrecto 39" xfId="1432" xr:uid="{00000000-0005-0000-0000-000010090000}"/>
    <cellStyle name="Incorrecto 39 2" xfId="2811" xr:uid="{00000000-0005-0000-0000-000011090000}"/>
    <cellStyle name="Incorrecto 4" xfId="1433" xr:uid="{00000000-0005-0000-0000-000012090000}"/>
    <cellStyle name="Incorrecto 40" xfId="1434" xr:uid="{00000000-0005-0000-0000-000013090000}"/>
    <cellStyle name="Incorrecto 40 2" xfId="2812" xr:uid="{00000000-0005-0000-0000-000014090000}"/>
    <cellStyle name="Incorrecto 41" xfId="1435" xr:uid="{00000000-0005-0000-0000-000015090000}"/>
    <cellStyle name="Incorrecto 41 2" xfId="2813" xr:uid="{00000000-0005-0000-0000-000016090000}"/>
    <cellStyle name="Incorrecto 42" xfId="1436" xr:uid="{00000000-0005-0000-0000-000017090000}"/>
    <cellStyle name="Incorrecto 42 2" xfId="2814" xr:uid="{00000000-0005-0000-0000-000018090000}"/>
    <cellStyle name="Incorrecto 43" xfId="1437" xr:uid="{00000000-0005-0000-0000-000019090000}"/>
    <cellStyle name="Incorrecto 43 2" xfId="2815" xr:uid="{00000000-0005-0000-0000-00001A090000}"/>
    <cellStyle name="Incorrecto 44" xfId="1438" xr:uid="{00000000-0005-0000-0000-00001B090000}"/>
    <cellStyle name="Incorrecto 44 2" xfId="2816" xr:uid="{00000000-0005-0000-0000-00001C090000}"/>
    <cellStyle name="Incorrecto 45" xfId="1439" xr:uid="{00000000-0005-0000-0000-00001D090000}"/>
    <cellStyle name="Incorrecto 45 2" xfId="2817" xr:uid="{00000000-0005-0000-0000-00001E090000}"/>
    <cellStyle name="Incorrecto 46" xfId="1440" xr:uid="{00000000-0005-0000-0000-00001F090000}"/>
    <cellStyle name="Incorrecto 5" xfId="1441" xr:uid="{00000000-0005-0000-0000-000020090000}"/>
    <cellStyle name="Incorrecto 6" xfId="1442" xr:uid="{00000000-0005-0000-0000-000021090000}"/>
    <cellStyle name="Incorrecto 7" xfId="1443" xr:uid="{00000000-0005-0000-0000-000022090000}"/>
    <cellStyle name="Incorrecto 8" xfId="1444" xr:uid="{00000000-0005-0000-0000-000023090000}"/>
    <cellStyle name="Incorrecto 9" xfId="1445" xr:uid="{00000000-0005-0000-0000-000024090000}"/>
    <cellStyle name="Millares" xfId="1446" builtinId="3"/>
    <cellStyle name="Millares 2" xfId="1447" xr:uid="{00000000-0005-0000-0000-000026090000}"/>
    <cellStyle name="Millares 2 2" xfId="1448" xr:uid="{00000000-0005-0000-0000-000027090000}"/>
    <cellStyle name="Millares 2 2 2" xfId="2820" xr:uid="{00000000-0005-0000-0000-000028090000}"/>
    <cellStyle name="Millares 2 3" xfId="2819" xr:uid="{00000000-0005-0000-0000-000029090000}"/>
    <cellStyle name="Millares 3" xfId="1449" xr:uid="{00000000-0005-0000-0000-00002A090000}"/>
    <cellStyle name="Millares 3 2" xfId="2821" xr:uid="{00000000-0005-0000-0000-00002B090000}"/>
    <cellStyle name="Millares 4" xfId="2818" xr:uid="{00000000-0005-0000-0000-00002C090000}"/>
    <cellStyle name="Millares_TRABAJADORES EVENTUALES CONTRUTABLA" xfId="1450" xr:uid="{00000000-0005-0000-0000-00002D090000}"/>
    <cellStyle name="Moneda" xfId="1451" builtinId="4"/>
    <cellStyle name="Moneda 11 2 2" xfId="2953" xr:uid="{00000000-0005-0000-0000-00002F090000}"/>
    <cellStyle name="Moneda 2" xfId="2822" xr:uid="{00000000-0005-0000-0000-000030090000}"/>
    <cellStyle name="Moneda 3" xfId="2950" xr:uid="{00000000-0005-0000-0000-000031090000}"/>
    <cellStyle name="Moneda 6 2" xfId="2952" xr:uid="{00000000-0005-0000-0000-000032090000}"/>
    <cellStyle name="Neutral" xfId="2048" builtinId="28" customBuiltin="1"/>
    <cellStyle name="Neutral 1" xfId="1452" xr:uid="{00000000-0005-0000-0000-000034090000}"/>
    <cellStyle name="Neutral 10" xfId="1453" xr:uid="{00000000-0005-0000-0000-000035090000}"/>
    <cellStyle name="Neutral 11" xfId="1454" xr:uid="{00000000-0005-0000-0000-000036090000}"/>
    <cellStyle name="Neutral 12" xfId="1455" xr:uid="{00000000-0005-0000-0000-000037090000}"/>
    <cellStyle name="Neutral 13" xfId="1456" xr:uid="{00000000-0005-0000-0000-000038090000}"/>
    <cellStyle name="Neutral 14" xfId="1457" xr:uid="{00000000-0005-0000-0000-000039090000}"/>
    <cellStyle name="Neutral 15" xfId="1458" xr:uid="{00000000-0005-0000-0000-00003A090000}"/>
    <cellStyle name="Neutral 16" xfId="1459" xr:uid="{00000000-0005-0000-0000-00003B090000}"/>
    <cellStyle name="Neutral 17" xfId="1460" xr:uid="{00000000-0005-0000-0000-00003C090000}"/>
    <cellStyle name="Neutral 18" xfId="1461" xr:uid="{00000000-0005-0000-0000-00003D090000}"/>
    <cellStyle name="Neutral 19" xfId="1462" xr:uid="{00000000-0005-0000-0000-00003E090000}"/>
    <cellStyle name="Neutral 2" xfId="1463" xr:uid="{00000000-0005-0000-0000-00003F090000}"/>
    <cellStyle name="Neutral 20" xfId="1464" xr:uid="{00000000-0005-0000-0000-000040090000}"/>
    <cellStyle name="Neutral 21" xfId="1465" xr:uid="{00000000-0005-0000-0000-000041090000}"/>
    <cellStyle name="Neutral 22" xfId="1466" xr:uid="{00000000-0005-0000-0000-000042090000}"/>
    <cellStyle name="Neutral 23" xfId="1467" xr:uid="{00000000-0005-0000-0000-000043090000}"/>
    <cellStyle name="Neutral 24" xfId="1468" xr:uid="{00000000-0005-0000-0000-000044090000}"/>
    <cellStyle name="Neutral 25" xfId="1469" xr:uid="{00000000-0005-0000-0000-000045090000}"/>
    <cellStyle name="Neutral 26" xfId="1470" xr:uid="{00000000-0005-0000-0000-000046090000}"/>
    <cellStyle name="Neutral 27" xfId="1471" xr:uid="{00000000-0005-0000-0000-000047090000}"/>
    <cellStyle name="Neutral 28" xfId="1472" xr:uid="{00000000-0005-0000-0000-000048090000}"/>
    <cellStyle name="Neutral 29" xfId="1473" xr:uid="{00000000-0005-0000-0000-000049090000}"/>
    <cellStyle name="Neutral 3" xfId="1474" xr:uid="{00000000-0005-0000-0000-00004A090000}"/>
    <cellStyle name="Neutral 30" xfId="1475" xr:uid="{00000000-0005-0000-0000-00004B090000}"/>
    <cellStyle name="Neutral 31" xfId="1476" xr:uid="{00000000-0005-0000-0000-00004C090000}"/>
    <cellStyle name="Neutral 32" xfId="1477" xr:uid="{00000000-0005-0000-0000-00004D090000}"/>
    <cellStyle name="Neutral 33" xfId="1478" xr:uid="{00000000-0005-0000-0000-00004E090000}"/>
    <cellStyle name="Neutral 34" xfId="1479" xr:uid="{00000000-0005-0000-0000-00004F090000}"/>
    <cellStyle name="Neutral 35" xfId="1480" xr:uid="{00000000-0005-0000-0000-000050090000}"/>
    <cellStyle name="Neutral 36" xfId="1481" xr:uid="{00000000-0005-0000-0000-000051090000}"/>
    <cellStyle name="Neutral 37" xfId="1482" xr:uid="{00000000-0005-0000-0000-000052090000}"/>
    <cellStyle name="Neutral 37 2" xfId="2823" xr:uid="{00000000-0005-0000-0000-000053090000}"/>
    <cellStyle name="Neutral 38" xfId="1483" xr:uid="{00000000-0005-0000-0000-000054090000}"/>
    <cellStyle name="Neutral 38 2" xfId="2824" xr:uid="{00000000-0005-0000-0000-000055090000}"/>
    <cellStyle name="Neutral 39" xfId="1484" xr:uid="{00000000-0005-0000-0000-000056090000}"/>
    <cellStyle name="Neutral 39 2" xfId="2825" xr:uid="{00000000-0005-0000-0000-000057090000}"/>
    <cellStyle name="Neutral 4" xfId="1485" xr:uid="{00000000-0005-0000-0000-000058090000}"/>
    <cellStyle name="Neutral 40" xfId="1486" xr:uid="{00000000-0005-0000-0000-000059090000}"/>
    <cellStyle name="Neutral 40 2" xfId="2826" xr:uid="{00000000-0005-0000-0000-00005A090000}"/>
    <cellStyle name="Neutral 41" xfId="1487" xr:uid="{00000000-0005-0000-0000-00005B090000}"/>
    <cellStyle name="Neutral 41 2" xfId="2827" xr:uid="{00000000-0005-0000-0000-00005C090000}"/>
    <cellStyle name="Neutral 42" xfId="1488" xr:uid="{00000000-0005-0000-0000-00005D090000}"/>
    <cellStyle name="Neutral 42 2" xfId="2828" xr:uid="{00000000-0005-0000-0000-00005E090000}"/>
    <cellStyle name="Neutral 43" xfId="1489" xr:uid="{00000000-0005-0000-0000-00005F090000}"/>
    <cellStyle name="Neutral 43 2" xfId="2829" xr:uid="{00000000-0005-0000-0000-000060090000}"/>
    <cellStyle name="Neutral 44" xfId="1490" xr:uid="{00000000-0005-0000-0000-000061090000}"/>
    <cellStyle name="Neutral 44 2" xfId="2830" xr:uid="{00000000-0005-0000-0000-000062090000}"/>
    <cellStyle name="Neutral 45" xfId="1491" xr:uid="{00000000-0005-0000-0000-000063090000}"/>
    <cellStyle name="Neutral 45 2" xfId="2831" xr:uid="{00000000-0005-0000-0000-000064090000}"/>
    <cellStyle name="Neutral 46" xfId="1492" xr:uid="{00000000-0005-0000-0000-000065090000}"/>
    <cellStyle name="Neutral 5" xfId="1493" xr:uid="{00000000-0005-0000-0000-000066090000}"/>
    <cellStyle name="Neutral 6" xfId="1494" xr:uid="{00000000-0005-0000-0000-000067090000}"/>
    <cellStyle name="Neutral 7" xfId="1495" xr:uid="{00000000-0005-0000-0000-000068090000}"/>
    <cellStyle name="Neutral 8" xfId="1496" xr:uid="{00000000-0005-0000-0000-000069090000}"/>
    <cellStyle name="Neutral 9" xfId="1497" xr:uid="{00000000-0005-0000-0000-00006A090000}"/>
    <cellStyle name="Normal" xfId="0" builtinId="0"/>
    <cellStyle name="Normal 15" xfId="1912" xr:uid="{00000000-0005-0000-0000-00006C090000}"/>
    <cellStyle name="Normal 2" xfId="1498" xr:uid="{00000000-0005-0000-0000-00006D090000}"/>
    <cellStyle name="Normal 2 2" xfId="1499" xr:uid="{00000000-0005-0000-0000-00006E090000}"/>
    <cellStyle name="Normal 2 2 2" xfId="1500" xr:uid="{00000000-0005-0000-0000-00006F090000}"/>
    <cellStyle name="Normal 3" xfId="1501" xr:uid="{00000000-0005-0000-0000-000070090000}"/>
    <cellStyle name="Normal 4" xfId="1502" xr:uid="{00000000-0005-0000-0000-000071090000}"/>
    <cellStyle name="Notas" xfId="2055" builtinId="10" customBuiltin="1"/>
    <cellStyle name="Notas 1" xfId="1503" xr:uid="{00000000-0005-0000-0000-000073090000}"/>
    <cellStyle name="Notas 1 2" xfId="2832" xr:uid="{00000000-0005-0000-0000-000074090000}"/>
    <cellStyle name="Notas 10" xfId="1504" xr:uid="{00000000-0005-0000-0000-000075090000}"/>
    <cellStyle name="Notas 10 2" xfId="2833" xr:uid="{00000000-0005-0000-0000-000076090000}"/>
    <cellStyle name="Notas 11" xfId="1505" xr:uid="{00000000-0005-0000-0000-000077090000}"/>
    <cellStyle name="Notas 11 2" xfId="2834" xr:uid="{00000000-0005-0000-0000-000078090000}"/>
    <cellStyle name="Notas 12" xfId="1506" xr:uid="{00000000-0005-0000-0000-000079090000}"/>
    <cellStyle name="Notas 12 2" xfId="2835" xr:uid="{00000000-0005-0000-0000-00007A090000}"/>
    <cellStyle name="Notas 13" xfId="1507" xr:uid="{00000000-0005-0000-0000-00007B090000}"/>
    <cellStyle name="Notas 13 2" xfId="2836" xr:uid="{00000000-0005-0000-0000-00007C090000}"/>
    <cellStyle name="Notas 14" xfId="1508" xr:uid="{00000000-0005-0000-0000-00007D090000}"/>
    <cellStyle name="Notas 14 2" xfId="2837" xr:uid="{00000000-0005-0000-0000-00007E090000}"/>
    <cellStyle name="Notas 15" xfId="1509" xr:uid="{00000000-0005-0000-0000-00007F090000}"/>
    <cellStyle name="Notas 15 2" xfId="2838" xr:uid="{00000000-0005-0000-0000-000080090000}"/>
    <cellStyle name="Notas 16" xfId="1510" xr:uid="{00000000-0005-0000-0000-000081090000}"/>
    <cellStyle name="Notas 16 2" xfId="2839" xr:uid="{00000000-0005-0000-0000-000082090000}"/>
    <cellStyle name="Notas 17" xfId="1511" xr:uid="{00000000-0005-0000-0000-000083090000}"/>
    <cellStyle name="Notas 17 2" xfId="2840" xr:uid="{00000000-0005-0000-0000-000084090000}"/>
    <cellStyle name="Notas 18" xfId="1512" xr:uid="{00000000-0005-0000-0000-000085090000}"/>
    <cellStyle name="Notas 18 2" xfId="2841" xr:uid="{00000000-0005-0000-0000-000086090000}"/>
    <cellStyle name="Notas 19" xfId="1513" xr:uid="{00000000-0005-0000-0000-000087090000}"/>
    <cellStyle name="Notas 19 2" xfId="2842" xr:uid="{00000000-0005-0000-0000-000088090000}"/>
    <cellStyle name="Notas 2" xfId="1514" xr:uid="{00000000-0005-0000-0000-000089090000}"/>
    <cellStyle name="Notas 2 2" xfId="2843" xr:uid="{00000000-0005-0000-0000-00008A090000}"/>
    <cellStyle name="Notas 20" xfId="1515" xr:uid="{00000000-0005-0000-0000-00008B090000}"/>
    <cellStyle name="Notas 20 2" xfId="2844" xr:uid="{00000000-0005-0000-0000-00008C090000}"/>
    <cellStyle name="Notas 21" xfId="1516" xr:uid="{00000000-0005-0000-0000-00008D090000}"/>
    <cellStyle name="Notas 21 2" xfId="2845" xr:uid="{00000000-0005-0000-0000-00008E090000}"/>
    <cellStyle name="Notas 22" xfId="1517" xr:uid="{00000000-0005-0000-0000-00008F090000}"/>
    <cellStyle name="Notas 22 2" xfId="2846" xr:uid="{00000000-0005-0000-0000-000090090000}"/>
    <cellStyle name="Notas 23" xfId="1518" xr:uid="{00000000-0005-0000-0000-000091090000}"/>
    <cellStyle name="Notas 23 2" xfId="2847" xr:uid="{00000000-0005-0000-0000-000092090000}"/>
    <cellStyle name="Notas 24" xfId="1519" xr:uid="{00000000-0005-0000-0000-000093090000}"/>
    <cellStyle name="Notas 24 2" xfId="2848" xr:uid="{00000000-0005-0000-0000-000094090000}"/>
    <cellStyle name="Notas 25" xfId="1520" xr:uid="{00000000-0005-0000-0000-000095090000}"/>
    <cellStyle name="Notas 25 2" xfId="2849" xr:uid="{00000000-0005-0000-0000-000096090000}"/>
    <cellStyle name="Notas 26" xfId="1521" xr:uid="{00000000-0005-0000-0000-000097090000}"/>
    <cellStyle name="Notas 26 2" xfId="2850" xr:uid="{00000000-0005-0000-0000-000098090000}"/>
    <cellStyle name="Notas 27" xfId="1522" xr:uid="{00000000-0005-0000-0000-000099090000}"/>
    <cellStyle name="Notas 27 2" xfId="2851" xr:uid="{00000000-0005-0000-0000-00009A090000}"/>
    <cellStyle name="Notas 28" xfId="1523" xr:uid="{00000000-0005-0000-0000-00009B090000}"/>
    <cellStyle name="Notas 28 2" xfId="2852" xr:uid="{00000000-0005-0000-0000-00009C090000}"/>
    <cellStyle name="Notas 29" xfId="1524" xr:uid="{00000000-0005-0000-0000-00009D090000}"/>
    <cellStyle name="Notas 29 2" xfId="2853" xr:uid="{00000000-0005-0000-0000-00009E090000}"/>
    <cellStyle name="Notas 3" xfId="1525" xr:uid="{00000000-0005-0000-0000-00009F090000}"/>
    <cellStyle name="Notas 3 2" xfId="2854" xr:uid="{00000000-0005-0000-0000-0000A0090000}"/>
    <cellStyle name="Notas 30" xfId="1526" xr:uid="{00000000-0005-0000-0000-0000A1090000}"/>
    <cellStyle name="Notas 30 2" xfId="2855" xr:uid="{00000000-0005-0000-0000-0000A2090000}"/>
    <cellStyle name="Notas 31" xfId="1527" xr:uid="{00000000-0005-0000-0000-0000A3090000}"/>
    <cellStyle name="Notas 31 2" xfId="2856" xr:uid="{00000000-0005-0000-0000-0000A4090000}"/>
    <cellStyle name="Notas 32" xfId="1528" xr:uid="{00000000-0005-0000-0000-0000A5090000}"/>
    <cellStyle name="Notas 32 2" xfId="2857" xr:uid="{00000000-0005-0000-0000-0000A6090000}"/>
    <cellStyle name="Notas 33" xfId="1529" xr:uid="{00000000-0005-0000-0000-0000A7090000}"/>
    <cellStyle name="Notas 33 2" xfId="2858" xr:uid="{00000000-0005-0000-0000-0000A8090000}"/>
    <cellStyle name="Notas 34" xfId="1530" xr:uid="{00000000-0005-0000-0000-0000A9090000}"/>
    <cellStyle name="Notas 34 2" xfId="2859" xr:uid="{00000000-0005-0000-0000-0000AA090000}"/>
    <cellStyle name="Notas 35" xfId="1531" xr:uid="{00000000-0005-0000-0000-0000AB090000}"/>
    <cellStyle name="Notas 35 2" xfId="2860" xr:uid="{00000000-0005-0000-0000-0000AC090000}"/>
    <cellStyle name="Notas 36" xfId="1532" xr:uid="{00000000-0005-0000-0000-0000AD090000}"/>
    <cellStyle name="Notas 36 2" xfId="2861" xr:uid="{00000000-0005-0000-0000-0000AE090000}"/>
    <cellStyle name="Notas 37" xfId="1533" xr:uid="{00000000-0005-0000-0000-0000AF090000}"/>
    <cellStyle name="Notas 37 2" xfId="2862" xr:uid="{00000000-0005-0000-0000-0000B0090000}"/>
    <cellStyle name="Notas 38" xfId="1534" xr:uid="{00000000-0005-0000-0000-0000B1090000}"/>
    <cellStyle name="Notas 38 2" xfId="2863" xr:uid="{00000000-0005-0000-0000-0000B2090000}"/>
    <cellStyle name="Notas 39" xfId="1535" xr:uid="{00000000-0005-0000-0000-0000B3090000}"/>
    <cellStyle name="Notas 39 2" xfId="2864" xr:uid="{00000000-0005-0000-0000-0000B4090000}"/>
    <cellStyle name="Notas 4" xfId="1536" xr:uid="{00000000-0005-0000-0000-0000B5090000}"/>
    <cellStyle name="Notas 4 2" xfId="2865" xr:uid="{00000000-0005-0000-0000-0000B6090000}"/>
    <cellStyle name="Notas 40" xfId="1537" xr:uid="{00000000-0005-0000-0000-0000B7090000}"/>
    <cellStyle name="Notas 40 2" xfId="2866" xr:uid="{00000000-0005-0000-0000-0000B8090000}"/>
    <cellStyle name="Notas 41" xfId="1538" xr:uid="{00000000-0005-0000-0000-0000B9090000}"/>
    <cellStyle name="Notas 41 2" xfId="2867" xr:uid="{00000000-0005-0000-0000-0000BA090000}"/>
    <cellStyle name="Notas 42" xfId="1539" xr:uid="{00000000-0005-0000-0000-0000BB090000}"/>
    <cellStyle name="Notas 42 2" xfId="2868" xr:uid="{00000000-0005-0000-0000-0000BC090000}"/>
    <cellStyle name="Notas 43" xfId="1540" xr:uid="{00000000-0005-0000-0000-0000BD090000}"/>
    <cellStyle name="Notas 43 2" xfId="2869" xr:uid="{00000000-0005-0000-0000-0000BE090000}"/>
    <cellStyle name="Notas 44" xfId="1541" xr:uid="{00000000-0005-0000-0000-0000BF090000}"/>
    <cellStyle name="Notas 44 2" xfId="2870" xr:uid="{00000000-0005-0000-0000-0000C0090000}"/>
    <cellStyle name="Notas 45" xfId="1542" xr:uid="{00000000-0005-0000-0000-0000C1090000}"/>
    <cellStyle name="Notas 45 2" xfId="2871" xr:uid="{00000000-0005-0000-0000-0000C2090000}"/>
    <cellStyle name="Notas 46" xfId="1543" xr:uid="{00000000-0005-0000-0000-0000C3090000}"/>
    <cellStyle name="Notas 46 2" xfId="2872" xr:uid="{00000000-0005-0000-0000-0000C4090000}"/>
    <cellStyle name="Notas 5" xfId="1544" xr:uid="{00000000-0005-0000-0000-0000C5090000}"/>
    <cellStyle name="Notas 5 2" xfId="2873" xr:uid="{00000000-0005-0000-0000-0000C6090000}"/>
    <cellStyle name="Notas 6" xfId="1545" xr:uid="{00000000-0005-0000-0000-0000C7090000}"/>
    <cellStyle name="Notas 6 2" xfId="2874" xr:uid="{00000000-0005-0000-0000-0000C8090000}"/>
    <cellStyle name="Notas 7" xfId="1546" xr:uid="{00000000-0005-0000-0000-0000C9090000}"/>
    <cellStyle name="Notas 7 2" xfId="2875" xr:uid="{00000000-0005-0000-0000-0000CA090000}"/>
    <cellStyle name="Notas 8" xfId="1547" xr:uid="{00000000-0005-0000-0000-0000CB090000}"/>
    <cellStyle name="Notas 8 2" xfId="2876" xr:uid="{00000000-0005-0000-0000-0000CC090000}"/>
    <cellStyle name="Notas 9" xfId="1548" xr:uid="{00000000-0005-0000-0000-0000CD090000}"/>
    <cellStyle name="Notas 9 2" xfId="2877" xr:uid="{00000000-0005-0000-0000-0000CE090000}"/>
    <cellStyle name="Porcentaje" xfId="1549" builtinId="5"/>
    <cellStyle name="Porcentaje 2" xfId="2951" xr:uid="{00000000-0005-0000-0000-0000D0090000}"/>
    <cellStyle name="Porcentual 2" xfId="1550" xr:uid="{00000000-0005-0000-0000-0000D1090000}"/>
    <cellStyle name="Salida" xfId="2050" builtinId="21" customBuiltin="1"/>
    <cellStyle name="Salida 1" xfId="1551" xr:uid="{00000000-0005-0000-0000-0000D3090000}"/>
    <cellStyle name="Salida 10" xfId="1552" xr:uid="{00000000-0005-0000-0000-0000D4090000}"/>
    <cellStyle name="Salida 11" xfId="1553" xr:uid="{00000000-0005-0000-0000-0000D5090000}"/>
    <cellStyle name="Salida 12" xfId="1554" xr:uid="{00000000-0005-0000-0000-0000D6090000}"/>
    <cellStyle name="Salida 13" xfId="1555" xr:uid="{00000000-0005-0000-0000-0000D7090000}"/>
    <cellStyle name="Salida 14" xfId="1556" xr:uid="{00000000-0005-0000-0000-0000D8090000}"/>
    <cellStyle name="Salida 15" xfId="1557" xr:uid="{00000000-0005-0000-0000-0000D9090000}"/>
    <cellStyle name="Salida 16" xfId="1558" xr:uid="{00000000-0005-0000-0000-0000DA090000}"/>
    <cellStyle name="Salida 17" xfId="1559" xr:uid="{00000000-0005-0000-0000-0000DB090000}"/>
    <cellStyle name="Salida 18" xfId="1560" xr:uid="{00000000-0005-0000-0000-0000DC090000}"/>
    <cellStyle name="Salida 19" xfId="1561" xr:uid="{00000000-0005-0000-0000-0000DD090000}"/>
    <cellStyle name="Salida 2" xfId="1562" xr:uid="{00000000-0005-0000-0000-0000DE090000}"/>
    <cellStyle name="Salida 20" xfId="1563" xr:uid="{00000000-0005-0000-0000-0000DF090000}"/>
    <cellStyle name="Salida 21" xfId="1564" xr:uid="{00000000-0005-0000-0000-0000E0090000}"/>
    <cellStyle name="Salida 22" xfId="1565" xr:uid="{00000000-0005-0000-0000-0000E1090000}"/>
    <cellStyle name="Salida 23" xfId="1566" xr:uid="{00000000-0005-0000-0000-0000E2090000}"/>
    <cellStyle name="Salida 24" xfId="1567" xr:uid="{00000000-0005-0000-0000-0000E3090000}"/>
    <cellStyle name="Salida 25" xfId="1568" xr:uid="{00000000-0005-0000-0000-0000E4090000}"/>
    <cellStyle name="Salida 26" xfId="1569" xr:uid="{00000000-0005-0000-0000-0000E5090000}"/>
    <cellStyle name="Salida 27" xfId="1570" xr:uid="{00000000-0005-0000-0000-0000E6090000}"/>
    <cellStyle name="Salida 28" xfId="1571" xr:uid="{00000000-0005-0000-0000-0000E7090000}"/>
    <cellStyle name="Salida 29" xfId="1572" xr:uid="{00000000-0005-0000-0000-0000E8090000}"/>
    <cellStyle name="Salida 3" xfId="1573" xr:uid="{00000000-0005-0000-0000-0000E9090000}"/>
    <cellStyle name="Salida 30" xfId="1574" xr:uid="{00000000-0005-0000-0000-0000EA090000}"/>
    <cellStyle name="Salida 31" xfId="1575" xr:uid="{00000000-0005-0000-0000-0000EB090000}"/>
    <cellStyle name="Salida 32" xfId="1576" xr:uid="{00000000-0005-0000-0000-0000EC090000}"/>
    <cellStyle name="Salida 33" xfId="1577" xr:uid="{00000000-0005-0000-0000-0000ED090000}"/>
    <cellStyle name="Salida 34" xfId="1578" xr:uid="{00000000-0005-0000-0000-0000EE090000}"/>
    <cellStyle name="Salida 35" xfId="1579" xr:uid="{00000000-0005-0000-0000-0000EF090000}"/>
    <cellStyle name="Salida 36" xfId="1580" xr:uid="{00000000-0005-0000-0000-0000F0090000}"/>
    <cellStyle name="Salida 37" xfId="1581" xr:uid="{00000000-0005-0000-0000-0000F1090000}"/>
    <cellStyle name="Salida 37 2" xfId="2878" xr:uid="{00000000-0005-0000-0000-0000F2090000}"/>
    <cellStyle name="Salida 38" xfId="1582" xr:uid="{00000000-0005-0000-0000-0000F3090000}"/>
    <cellStyle name="Salida 38 2" xfId="2879" xr:uid="{00000000-0005-0000-0000-0000F4090000}"/>
    <cellStyle name="Salida 39" xfId="1583" xr:uid="{00000000-0005-0000-0000-0000F5090000}"/>
    <cellStyle name="Salida 39 2" xfId="2880" xr:uid="{00000000-0005-0000-0000-0000F6090000}"/>
    <cellStyle name="Salida 4" xfId="1584" xr:uid="{00000000-0005-0000-0000-0000F7090000}"/>
    <cellStyle name="Salida 40" xfId="1585" xr:uid="{00000000-0005-0000-0000-0000F8090000}"/>
    <cellStyle name="Salida 40 2" xfId="2881" xr:uid="{00000000-0005-0000-0000-0000F9090000}"/>
    <cellStyle name="Salida 41" xfId="1586" xr:uid="{00000000-0005-0000-0000-0000FA090000}"/>
    <cellStyle name="Salida 41 2" xfId="2882" xr:uid="{00000000-0005-0000-0000-0000FB090000}"/>
    <cellStyle name="Salida 42" xfId="1587" xr:uid="{00000000-0005-0000-0000-0000FC090000}"/>
    <cellStyle name="Salida 42 2" xfId="2883" xr:uid="{00000000-0005-0000-0000-0000FD090000}"/>
    <cellStyle name="Salida 43" xfId="1588" xr:uid="{00000000-0005-0000-0000-0000FE090000}"/>
    <cellStyle name="Salida 43 2" xfId="2884" xr:uid="{00000000-0005-0000-0000-0000FF090000}"/>
    <cellStyle name="Salida 44" xfId="1589" xr:uid="{00000000-0005-0000-0000-0000000A0000}"/>
    <cellStyle name="Salida 44 2" xfId="2885" xr:uid="{00000000-0005-0000-0000-0000010A0000}"/>
    <cellStyle name="Salida 45" xfId="1590" xr:uid="{00000000-0005-0000-0000-0000020A0000}"/>
    <cellStyle name="Salida 45 2" xfId="2886" xr:uid="{00000000-0005-0000-0000-0000030A0000}"/>
    <cellStyle name="Salida 46" xfId="1591" xr:uid="{00000000-0005-0000-0000-0000040A0000}"/>
    <cellStyle name="Salida 5" xfId="1592" xr:uid="{00000000-0005-0000-0000-0000050A0000}"/>
    <cellStyle name="Salida 6" xfId="1593" xr:uid="{00000000-0005-0000-0000-0000060A0000}"/>
    <cellStyle name="Salida 7" xfId="1594" xr:uid="{00000000-0005-0000-0000-0000070A0000}"/>
    <cellStyle name="Salida 8" xfId="1595" xr:uid="{00000000-0005-0000-0000-0000080A0000}"/>
    <cellStyle name="Salida 9" xfId="1596" xr:uid="{00000000-0005-0000-0000-0000090A0000}"/>
    <cellStyle name="Texto de advertencia" xfId="2054" builtinId="11" customBuiltin="1"/>
    <cellStyle name="Texto de advertencia 1" xfId="1597" xr:uid="{00000000-0005-0000-0000-00000B0A0000}"/>
    <cellStyle name="Texto de advertencia 10" xfId="1598" xr:uid="{00000000-0005-0000-0000-00000C0A0000}"/>
    <cellStyle name="Texto de advertencia 11" xfId="1599" xr:uid="{00000000-0005-0000-0000-00000D0A0000}"/>
    <cellStyle name="Texto de advertencia 12" xfId="1600" xr:uid="{00000000-0005-0000-0000-00000E0A0000}"/>
    <cellStyle name="Texto de advertencia 13" xfId="1601" xr:uid="{00000000-0005-0000-0000-00000F0A0000}"/>
    <cellStyle name="Texto de advertencia 14" xfId="1602" xr:uid="{00000000-0005-0000-0000-0000100A0000}"/>
    <cellStyle name="Texto de advertencia 15" xfId="1603" xr:uid="{00000000-0005-0000-0000-0000110A0000}"/>
    <cellStyle name="Texto de advertencia 16" xfId="1604" xr:uid="{00000000-0005-0000-0000-0000120A0000}"/>
    <cellStyle name="Texto de advertencia 17" xfId="1605" xr:uid="{00000000-0005-0000-0000-0000130A0000}"/>
    <cellStyle name="Texto de advertencia 18" xfId="1606" xr:uid="{00000000-0005-0000-0000-0000140A0000}"/>
    <cellStyle name="Texto de advertencia 19" xfId="1607" xr:uid="{00000000-0005-0000-0000-0000150A0000}"/>
    <cellStyle name="Texto de advertencia 2" xfId="1608" xr:uid="{00000000-0005-0000-0000-0000160A0000}"/>
    <cellStyle name="Texto de advertencia 20" xfId="1609" xr:uid="{00000000-0005-0000-0000-0000170A0000}"/>
    <cellStyle name="Texto de advertencia 21" xfId="1610" xr:uid="{00000000-0005-0000-0000-0000180A0000}"/>
    <cellStyle name="Texto de advertencia 22" xfId="1611" xr:uid="{00000000-0005-0000-0000-0000190A0000}"/>
    <cellStyle name="Texto de advertencia 23" xfId="1612" xr:uid="{00000000-0005-0000-0000-00001A0A0000}"/>
    <cellStyle name="Texto de advertencia 24" xfId="1613" xr:uid="{00000000-0005-0000-0000-00001B0A0000}"/>
    <cellStyle name="Texto de advertencia 25" xfId="1614" xr:uid="{00000000-0005-0000-0000-00001C0A0000}"/>
    <cellStyle name="Texto de advertencia 26" xfId="1615" xr:uid="{00000000-0005-0000-0000-00001D0A0000}"/>
    <cellStyle name="Texto de advertencia 27" xfId="1616" xr:uid="{00000000-0005-0000-0000-00001E0A0000}"/>
    <cellStyle name="Texto de advertencia 28" xfId="1617" xr:uid="{00000000-0005-0000-0000-00001F0A0000}"/>
    <cellStyle name="Texto de advertencia 29" xfId="1618" xr:uid="{00000000-0005-0000-0000-0000200A0000}"/>
    <cellStyle name="Texto de advertencia 3" xfId="1619" xr:uid="{00000000-0005-0000-0000-0000210A0000}"/>
    <cellStyle name="Texto de advertencia 30" xfId="1620" xr:uid="{00000000-0005-0000-0000-0000220A0000}"/>
    <cellStyle name="Texto de advertencia 31" xfId="1621" xr:uid="{00000000-0005-0000-0000-0000230A0000}"/>
    <cellStyle name="Texto de advertencia 32" xfId="1622" xr:uid="{00000000-0005-0000-0000-0000240A0000}"/>
    <cellStyle name="Texto de advertencia 33" xfId="1623" xr:uid="{00000000-0005-0000-0000-0000250A0000}"/>
    <cellStyle name="Texto de advertencia 34" xfId="1624" xr:uid="{00000000-0005-0000-0000-0000260A0000}"/>
    <cellStyle name="Texto de advertencia 35" xfId="1625" xr:uid="{00000000-0005-0000-0000-0000270A0000}"/>
    <cellStyle name="Texto de advertencia 36" xfId="1626" xr:uid="{00000000-0005-0000-0000-0000280A0000}"/>
    <cellStyle name="Texto de advertencia 37" xfId="1627" xr:uid="{00000000-0005-0000-0000-0000290A0000}"/>
    <cellStyle name="Texto de advertencia 37 2" xfId="2887" xr:uid="{00000000-0005-0000-0000-00002A0A0000}"/>
    <cellStyle name="Texto de advertencia 38" xfId="1628" xr:uid="{00000000-0005-0000-0000-00002B0A0000}"/>
    <cellStyle name="Texto de advertencia 38 2" xfId="2888" xr:uid="{00000000-0005-0000-0000-00002C0A0000}"/>
    <cellStyle name="Texto de advertencia 39" xfId="1629" xr:uid="{00000000-0005-0000-0000-00002D0A0000}"/>
    <cellStyle name="Texto de advertencia 39 2" xfId="2889" xr:uid="{00000000-0005-0000-0000-00002E0A0000}"/>
    <cellStyle name="Texto de advertencia 4" xfId="1630" xr:uid="{00000000-0005-0000-0000-00002F0A0000}"/>
    <cellStyle name="Texto de advertencia 40" xfId="1631" xr:uid="{00000000-0005-0000-0000-0000300A0000}"/>
    <cellStyle name="Texto de advertencia 40 2" xfId="2890" xr:uid="{00000000-0005-0000-0000-0000310A0000}"/>
    <cellStyle name="Texto de advertencia 41" xfId="1632" xr:uid="{00000000-0005-0000-0000-0000320A0000}"/>
    <cellStyle name="Texto de advertencia 41 2" xfId="2891" xr:uid="{00000000-0005-0000-0000-0000330A0000}"/>
    <cellStyle name="Texto de advertencia 42" xfId="1633" xr:uid="{00000000-0005-0000-0000-0000340A0000}"/>
    <cellStyle name="Texto de advertencia 42 2" xfId="2892" xr:uid="{00000000-0005-0000-0000-0000350A0000}"/>
    <cellStyle name="Texto de advertencia 43" xfId="1634" xr:uid="{00000000-0005-0000-0000-0000360A0000}"/>
    <cellStyle name="Texto de advertencia 43 2" xfId="2893" xr:uid="{00000000-0005-0000-0000-0000370A0000}"/>
    <cellStyle name="Texto de advertencia 44" xfId="1635" xr:uid="{00000000-0005-0000-0000-0000380A0000}"/>
    <cellStyle name="Texto de advertencia 44 2" xfId="2894" xr:uid="{00000000-0005-0000-0000-0000390A0000}"/>
    <cellStyle name="Texto de advertencia 45" xfId="1636" xr:uid="{00000000-0005-0000-0000-00003A0A0000}"/>
    <cellStyle name="Texto de advertencia 45 2" xfId="2895" xr:uid="{00000000-0005-0000-0000-00003B0A0000}"/>
    <cellStyle name="Texto de advertencia 5" xfId="1637" xr:uid="{00000000-0005-0000-0000-00003C0A0000}"/>
    <cellStyle name="Texto de advertencia 6" xfId="1638" xr:uid="{00000000-0005-0000-0000-00003D0A0000}"/>
    <cellStyle name="Texto de advertencia 7" xfId="1639" xr:uid="{00000000-0005-0000-0000-00003E0A0000}"/>
    <cellStyle name="Texto de advertencia 8" xfId="1640" xr:uid="{00000000-0005-0000-0000-00003F0A0000}"/>
    <cellStyle name="Texto de advertencia 9" xfId="1641" xr:uid="{00000000-0005-0000-0000-0000400A0000}"/>
    <cellStyle name="Texto explicativo" xfId="2056" builtinId="53" customBuiltin="1"/>
    <cellStyle name="Texto explicativo 1" xfId="1642" xr:uid="{00000000-0005-0000-0000-0000420A0000}"/>
    <cellStyle name="Texto explicativo 10" xfId="1643" xr:uid="{00000000-0005-0000-0000-0000430A0000}"/>
    <cellStyle name="Texto explicativo 11" xfId="1644" xr:uid="{00000000-0005-0000-0000-0000440A0000}"/>
    <cellStyle name="Texto explicativo 12" xfId="1645" xr:uid="{00000000-0005-0000-0000-0000450A0000}"/>
    <cellStyle name="Texto explicativo 13" xfId="1646" xr:uid="{00000000-0005-0000-0000-0000460A0000}"/>
    <cellStyle name="Texto explicativo 14" xfId="1647" xr:uid="{00000000-0005-0000-0000-0000470A0000}"/>
    <cellStyle name="Texto explicativo 15" xfId="1648" xr:uid="{00000000-0005-0000-0000-0000480A0000}"/>
    <cellStyle name="Texto explicativo 16" xfId="1649" xr:uid="{00000000-0005-0000-0000-0000490A0000}"/>
    <cellStyle name="Texto explicativo 17" xfId="1650" xr:uid="{00000000-0005-0000-0000-00004A0A0000}"/>
    <cellStyle name="Texto explicativo 18" xfId="1651" xr:uid="{00000000-0005-0000-0000-00004B0A0000}"/>
    <cellStyle name="Texto explicativo 19" xfId="1652" xr:uid="{00000000-0005-0000-0000-00004C0A0000}"/>
    <cellStyle name="Texto explicativo 2" xfId="1653" xr:uid="{00000000-0005-0000-0000-00004D0A0000}"/>
    <cellStyle name="Texto explicativo 20" xfId="1654" xr:uid="{00000000-0005-0000-0000-00004E0A0000}"/>
    <cellStyle name="Texto explicativo 21" xfId="1655" xr:uid="{00000000-0005-0000-0000-00004F0A0000}"/>
    <cellStyle name="Texto explicativo 22" xfId="1656" xr:uid="{00000000-0005-0000-0000-0000500A0000}"/>
    <cellStyle name="Texto explicativo 23" xfId="1657" xr:uid="{00000000-0005-0000-0000-0000510A0000}"/>
    <cellStyle name="Texto explicativo 24" xfId="1658" xr:uid="{00000000-0005-0000-0000-0000520A0000}"/>
    <cellStyle name="Texto explicativo 25" xfId="1659" xr:uid="{00000000-0005-0000-0000-0000530A0000}"/>
    <cellStyle name="Texto explicativo 26" xfId="1660" xr:uid="{00000000-0005-0000-0000-0000540A0000}"/>
    <cellStyle name="Texto explicativo 27" xfId="1661" xr:uid="{00000000-0005-0000-0000-0000550A0000}"/>
    <cellStyle name="Texto explicativo 28" xfId="1662" xr:uid="{00000000-0005-0000-0000-0000560A0000}"/>
    <cellStyle name="Texto explicativo 29" xfId="1663" xr:uid="{00000000-0005-0000-0000-0000570A0000}"/>
    <cellStyle name="Texto explicativo 3" xfId="1664" xr:uid="{00000000-0005-0000-0000-0000580A0000}"/>
    <cellStyle name="Texto explicativo 30" xfId="1665" xr:uid="{00000000-0005-0000-0000-0000590A0000}"/>
    <cellStyle name="Texto explicativo 31" xfId="1666" xr:uid="{00000000-0005-0000-0000-00005A0A0000}"/>
    <cellStyle name="Texto explicativo 32" xfId="1667" xr:uid="{00000000-0005-0000-0000-00005B0A0000}"/>
    <cellStyle name="Texto explicativo 33" xfId="1668" xr:uid="{00000000-0005-0000-0000-00005C0A0000}"/>
    <cellStyle name="Texto explicativo 34" xfId="1669" xr:uid="{00000000-0005-0000-0000-00005D0A0000}"/>
    <cellStyle name="Texto explicativo 35" xfId="1670" xr:uid="{00000000-0005-0000-0000-00005E0A0000}"/>
    <cellStyle name="Texto explicativo 36" xfId="1671" xr:uid="{00000000-0005-0000-0000-00005F0A0000}"/>
    <cellStyle name="Texto explicativo 37" xfId="1672" xr:uid="{00000000-0005-0000-0000-0000600A0000}"/>
    <cellStyle name="Texto explicativo 37 2" xfId="2896" xr:uid="{00000000-0005-0000-0000-0000610A0000}"/>
    <cellStyle name="Texto explicativo 38" xfId="1673" xr:uid="{00000000-0005-0000-0000-0000620A0000}"/>
    <cellStyle name="Texto explicativo 38 2" xfId="2897" xr:uid="{00000000-0005-0000-0000-0000630A0000}"/>
    <cellStyle name="Texto explicativo 39" xfId="1674" xr:uid="{00000000-0005-0000-0000-0000640A0000}"/>
    <cellStyle name="Texto explicativo 39 2" xfId="2898" xr:uid="{00000000-0005-0000-0000-0000650A0000}"/>
    <cellStyle name="Texto explicativo 4" xfId="1675" xr:uid="{00000000-0005-0000-0000-0000660A0000}"/>
    <cellStyle name="Texto explicativo 40" xfId="1676" xr:uid="{00000000-0005-0000-0000-0000670A0000}"/>
    <cellStyle name="Texto explicativo 40 2" xfId="2899" xr:uid="{00000000-0005-0000-0000-0000680A0000}"/>
    <cellStyle name="Texto explicativo 41" xfId="1677" xr:uid="{00000000-0005-0000-0000-0000690A0000}"/>
    <cellStyle name="Texto explicativo 41 2" xfId="2900" xr:uid="{00000000-0005-0000-0000-00006A0A0000}"/>
    <cellStyle name="Texto explicativo 42" xfId="1678" xr:uid="{00000000-0005-0000-0000-00006B0A0000}"/>
    <cellStyle name="Texto explicativo 42 2" xfId="2901" xr:uid="{00000000-0005-0000-0000-00006C0A0000}"/>
    <cellStyle name="Texto explicativo 43" xfId="1679" xr:uid="{00000000-0005-0000-0000-00006D0A0000}"/>
    <cellStyle name="Texto explicativo 43 2" xfId="2902" xr:uid="{00000000-0005-0000-0000-00006E0A0000}"/>
    <cellStyle name="Texto explicativo 44" xfId="1680" xr:uid="{00000000-0005-0000-0000-00006F0A0000}"/>
    <cellStyle name="Texto explicativo 44 2" xfId="2903" xr:uid="{00000000-0005-0000-0000-0000700A0000}"/>
    <cellStyle name="Texto explicativo 45" xfId="1681" xr:uid="{00000000-0005-0000-0000-0000710A0000}"/>
    <cellStyle name="Texto explicativo 45 2" xfId="2904" xr:uid="{00000000-0005-0000-0000-0000720A0000}"/>
    <cellStyle name="Texto explicativo 5" xfId="1682" xr:uid="{00000000-0005-0000-0000-0000730A0000}"/>
    <cellStyle name="Texto explicativo 6" xfId="1683" xr:uid="{00000000-0005-0000-0000-0000740A0000}"/>
    <cellStyle name="Texto explicativo 7" xfId="1684" xr:uid="{00000000-0005-0000-0000-0000750A0000}"/>
    <cellStyle name="Texto explicativo 8" xfId="1685" xr:uid="{00000000-0005-0000-0000-0000760A0000}"/>
    <cellStyle name="Texto explicativo 9" xfId="1686" xr:uid="{00000000-0005-0000-0000-0000770A0000}"/>
    <cellStyle name="Título" xfId="2043" builtinId="15" customBuiltin="1"/>
    <cellStyle name="Título 1 1" xfId="1687" xr:uid="{00000000-0005-0000-0000-0000790A0000}"/>
    <cellStyle name="Título 1 10" xfId="1688" xr:uid="{00000000-0005-0000-0000-00007A0A0000}"/>
    <cellStyle name="Título 1 11" xfId="1689" xr:uid="{00000000-0005-0000-0000-00007B0A0000}"/>
    <cellStyle name="Título 1 12" xfId="1690" xr:uid="{00000000-0005-0000-0000-00007C0A0000}"/>
    <cellStyle name="Título 1 13" xfId="1691" xr:uid="{00000000-0005-0000-0000-00007D0A0000}"/>
    <cellStyle name="Título 1 14" xfId="1692" xr:uid="{00000000-0005-0000-0000-00007E0A0000}"/>
    <cellStyle name="Título 1 15" xfId="1693" xr:uid="{00000000-0005-0000-0000-00007F0A0000}"/>
    <cellStyle name="Título 1 16" xfId="1694" xr:uid="{00000000-0005-0000-0000-0000800A0000}"/>
    <cellStyle name="Título 1 17" xfId="1695" xr:uid="{00000000-0005-0000-0000-0000810A0000}"/>
    <cellStyle name="Título 1 18" xfId="1696" xr:uid="{00000000-0005-0000-0000-0000820A0000}"/>
    <cellStyle name="Título 1 19" xfId="1697" xr:uid="{00000000-0005-0000-0000-0000830A0000}"/>
    <cellStyle name="Título 1 2" xfId="1698" xr:uid="{00000000-0005-0000-0000-0000840A0000}"/>
    <cellStyle name="Título 1 20" xfId="1699" xr:uid="{00000000-0005-0000-0000-0000850A0000}"/>
    <cellStyle name="Título 1 21" xfId="1700" xr:uid="{00000000-0005-0000-0000-0000860A0000}"/>
    <cellStyle name="Título 1 22" xfId="1701" xr:uid="{00000000-0005-0000-0000-0000870A0000}"/>
    <cellStyle name="Título 1 23" xfId="1702" xr:uid="{00000000-0005-0000-0000-0000880A0000}"/>
    <cellStyle name="Título 1 24" xfId="1703" xr:uid="{00000000-0005-0000-0000-0000890A0000}"/>
    <cellStyle name="Título 1 25" xfId="1704" xr:uid="{00000000-0005-0000-0000-00008A0A0000}"/>
    <cellStyle name="Título 1 26" xfId="1705" xr:uid="{00000000-0005-0000-0000-00008B0A0000}"/>
    <cellStyle name="Título 1 27" xfId="1706" xr:uid="{00000000-0005-0000-0000-00008C0A0000}"/>
    <cellStyle name="Título 1 28" xfId="1707" xr:uid="{00000000-0005-0000-0000-00008D0A0000}"/>
    <cellStyle name="Título 1 29" xfId="1708" xr:uid="{00000000-0005-0000-0000-00008E0A0000}"/>
    <cellStyle name="Título 1 3" xfId="1709" xr:uid="{00000000-0005-0000-0000-00008F0A0000}"/>
    <cellStyle name="Título 1 30" xfId="1710" xr:uid="{00000000-0005-0000-0000-0000900A0000}"/>
    <cellStyle name="Título 1 31" xfId="1711" xr:uid="{00000000-0005-0000-0000-0000910A0000}"/>
    <cellStyle name="Título 1 32" xfId="1712" xr:uid="{00000000-0005-0000-0000-0000920A0000}"/>
    <cellStyle name="Título 1 33" xfId="1713" xr:uid="{00000000-0005-0000-0000-0000930A0000}"/>
    <cellStyle name="Título 1 34" xfId="1714" xr:uid="{00000000-0005-0000-0000-0000940A0000}"/>
    <cellStyle name="Título 1 35" xfId="1715" xr:uid="{00000000-0005-0000-0000-0000950A0000}"/>
    <cellStyle name="Título 1 36" xfId="1716" xr:uid="{00000000-0005-0000-0000-0000960A0000}"/>
    <cellStyle name="Título 1 37" xfId="1717" xr:uid="{00000000-0005-0000-0000-0000970A0000}"/>
    <cellStyle name="Título 1 37 2" xfId="2905" xr:uid="{00000000-0005-0000-0000-0000980A0000}"/>
    <cellStyle name="Título 1 38" xfId="1718" xr:uid="{00000000-0005-0000-0000-0000990A0000}"/>
    <cellStyle name="Título 1 38 2" xfId="2906" xr:uid="{00000000-0005-0000-0000-00009A0A0000}"/>
    <cellStyle name="Título 1 39" xfId="1719" xr:uid="{00000000-0005-0000-0000-00009B0A0000}"/>
    <cellStyle name="Título 1 39 2" xfId="2907" xr:uid="{00000000-0005-0000-0000-00009C0A0000}"/>
    <cellStyle name="Título 1 4" xfId="1720" xr:uid="{00000000-0005-0000-0000-00009D0A0000}"/>
    <cellStyle name="Título 1 40" xfId="1721" xr:uid="{00000000-0005-0000-0000-00009E0A0000}"/>
    <cellStyle name="Título 1 40 2" xfId="2908" xr:uid="{00000000-0005-0000-0000-00009F0A0000}"/>
    <cellStyle name="Título 1 41" xfId="1722" xr:uid="{00000000-0005-0000-0000-0000A00A0000}"/>
    <cellStyle name="Título 1 41 2" xfId="2909" xr:uid="{00000000-0005-0000-0000-0000A10A0000}"/>
    <cellStyle name="Título 1 42" xfId="1723" xr:uid="{00000000-0005-0000-0000-0000A20A0000}"/>
    <cellStyle name="Título 1 42 2" xfId="2910" xr:uid="{00000000-0005-0000-0000-0000A30A0000}"/>
    <cellStyle name="Título 1 43" xfId="1724" xr:uid="{00000000-0005-0000-0000-0000A40A0000}"/>
    <cellStyle name="Título 1 43 2" xfId="2911" xr:uid="{00000000-0005-0000-0000-0000A50A0000}"/>
    <cellStyle name="Título 1 44" xfId="1725" xr:uid="{00000000-0005-0000-0000-0000A60A0000}"/>
    <cellStyle name="Título 1 44 2" xfId="2912" xr:uid="{00000000-0005-0000-0000-0000A70A0000}"/>
    <cellStyle name="Título 1 45" xfId="1726" xr:uid="{00000000-0005-0000-0000-0000A80A0000}"/>
    <cellStyle name="Título 1 45 2" xfId="2913" xr:uid="{00000000-0005-0000-0000-0000A90A0000}"/>
    <cellStyle name="Título 1 5" xfId="1727" xr:uid="{00000000-0005-0000-0000-0000AA0A0000}"/>
    <cellStyle name="Título 1 6" xfId="1728" xr:uid="{00000000-0005-0000-0000-0000AB0A0000}"/>
    <cellStyle name="Título 1 7" xfId="1729" xr:uid="{00000000-0005-0000-0000-0000AC0A0000}"/>
    <cellStyle name="Título 1 8" xfId="1730" xr:uid="{00000000-0005-0000-0000-0000AD0A0000}"/>
    <cellStyle name="Título 1 9" xfId="1731" xr:uid="{00000000-0005-0000-0000-0000AE0A0000}"/>
    <cellStyle name="Título 10" xfId="1732" xr:uid="{00000000-0005-0000-0000-0000AF0A0000}"/>
    <cellStyle name="Título 11" xfId="1733" xr:uid="{00000000-0005-0000-0000-0000B00A0000}"/>
    <cellStyle name="Título 12" xfId="1734" xr:uid="{00000000-0005-0000-0000-0000B10A0000}"/>
    <cellStyle name="Título 13" xfId="1735" xr:uid="{00000000-0005-0000-0000-0000B20A0000}"/>
    <cellStyle name="Título 14" xfId="1736" xr:uid="{00000000-0005-0000-0000-0000B30A0000}"/>
    <cellStyle name="Título 15" xfId="1737" xr:uid="{00000000-0005-0000-0000-0000B40A0000}"/>
    <cellStyle name="Título 16" xfId="1738" xr:uid="{00000000-0005-0000-0000-0000B50A0000}"/>
    <cellStyle name="Título 17" xfId="1739" xr:uid="{00000000-0005-0000-0000-0000B60A0000}"/>
    <cellStyle name="Título 18" xfId="1740" xr:uid="{00000000-0005-0000-0000-0000B70A0000}"/>
    <cellStyle name="Título 19" xfId="1741" xr:uid="{00000000-0005-0000-0000-0000B80A0000}"/>
    <cellStyle name="Título 2" xfId="2044" builtinId="17" customBuiltin="1"/>
    <cellStyle name="Título 2 1" xfId="1742" xr:uid="{00000000-0005-0000-0000-0000BA0A0000}"/>
    <cellStyle name="Título 2 10" xfId="1743" xr:uid="{00000000-0005-0000-0000-0000BB0A0000}"/>
    <cellStyle name="Título 2 11" xfId="1744" xr:uid="{00000000-0005-0000-0000-0000BC0A0000}"/>
    <cellStyle name="Título 2 12" xfId="1745" xr:uid="{00000000-0005-0000-0000-0000BD0A0000}"/>
    <cellStyle name="Título 2 13" xfId="1746" xr:uid="{00000000-0005-0000-0000-0000BE0A0000}"/>
    <cellStyle name="Título 2 14" xfId="1747" xr:uid="{00000000-0005-0000-0000-0000BF0A0000}"/>
    <cellStyle name="Título 2 15" xfId="1748" xr:uid="{00000000-0005-0000-0000-0000C00A0000}"/>
    <cellStyle name="Título 2 16" xfId="1749" xr:uid="{00000000-0005-0000-0000-0000C10A0000}"/>
    <cellStyle name="Título 2 17" xfId="1750" xr:uid="{00000000-0005-0000-0000-0000C20A0000}"/>
    <cellStyle name="Título 2 18" xfId="1751" xr:uid="{00000000-0005-0000-0000-0000C30A0000}"/>
    <cellStyle name="Título 2 19" xfId="1752" xr:uid="{00000000-0005-0000-0000-0000C40A0000}"/>
    <cellStyle name="Título 2 2" xfId="1753" xr:uid="{00000000-0005-0000-0000-0000C50A0000}"/>
    <cellStyle name="Título 2 20" xfId="1754" xr:uid="{00000000-0005-0000-0000-0000C60A0000}"/>
    <cellStyle name="Título 2 21" xfId="1755" xr:uid="{00000000-0005-0000-0000-0000C70A0000}"/>
    <cellStyle name="Título 2 22" xfId="1756" xr:uid="{00000000-0005-0000-0000-0000C80A0000}"/>
    <cellStyle name="Título 2 23" xfId="1757" xr:uid="{00000000-0005-0000-0000-0000C90A0000}"/>
    <cellStyle name="Título 2 24" xfId="1758" xr:uid="{00000000-0005-0000-0000-0000CA0A0000}"/>
    <cellStyle name="Título 2 25" xfId="1759" xr:uid="{00000000-0005-0000-0000-0000CB0A0000}"/>
    <cellStyle name="Título 2 26" xfId="1760" xr:uid="{00000000-0005-0000-0000-0000CC0A0000}"/>
    <cellStyle name="Título 2 27" xfId="1761" xr:uid="{00000000-0005-0000-0000-0000CD0A0000}"/>
    <cellStyle name="Título 2 28" xfId="1762" xr:uid="{00000000-0005-0000-0000-0000CE0A0000}"/>
    <cellStyle name="Título 2 29" xfId="1763" xr:uid="{00000000-0005-0000-0000-0000CF0A0000}"/>
    <cellStyle name="Título 2 3" xfId="1764" xr:uid="{00000000-0005-0000-0000-0000D00A0000}"/>
    <cellStyle name="Título 2 30" xfId="1765" xr:uid="{00000000-0005-0000-0000-0000D10A0000}"/>
    <cellStyle name="Título 2 31" xfId="1766" xr:uid="{00000000-0005-0000-0000-0000D20A0000}"/>
    <cellStyle name="Título 2 32" xfId="1767" xr:uid="{00000000-0005-0000-0000-0000D30A0000}"/>
    <cellStyle name="Título 2 33" xfId="1768" xr:uid="{00000000-0005-0000-0000-0000D40A0000}"/>
    <cellStyle name="Título 2 34" xfId="1769" xr:uid="{00000000-0005-0000-0000-0000D50A0000}"/>
    <cellStyle name="Título 2 35" xfId="1770" xr:uid="{00000000-0005-0000-0000-0000D60A0000}"/>
    <cellStyle name="Título 2 36" xfId="1771" xr:uid="{00000000-0005-0000-0000-0000D70A0000}"/>
    <cellStyle name="Título 2 37" xfId="1772" xr:uid="{00000000-0005-0000-0000-0000D80A0000}"/>
    <cellStyle name="Título 2 37 2" xfId="2914" xr:uid="{00000000-0005-0000-0000-0000D90A0000}"/>
    <cellStyle name="Título 2 38" xfId="1773" xr:uid="{00000000-0005-0000-0000-0000DA0A0000}"/>
    <cellStyle name="Título 2 38 2" xfId="2915" xr:uid="{00000000-0005-0000-0000-0000DB0A0000}"/>
    <cellStyle name="Título 2 39" xfId="1774" xr:uid="{00000000-0005-0000-0000-0000DC0A0000}"/>
    <cellStyle name="Título 2 39 2" xfId="2916" xr:uid="{00000000-0005-0000-0000-0000DD0A0000}"/>
    <cellStyle name="Título 2 4" xfId="1775" xr:uid="{00000000-0005-0000-0000-0000DE0A0000}"/>
    <cellStyle name="Título 2 40" xfId="1776" xr:uid="{00000000-0005-0000-0000-0000DF0A0000}"/>
    <cellStyle name="Título 2 40 2" xfId="2917" xr:uid="{00000000-0005-0000-0000-0000E00A0000}"/>
    <cellStyle name="Título 2 41" xfId="1777" xr:uid="{00000000-0005-0000-0000-0000E10A0000}"/>
    <cellStyle name="Título 2 41 2" xfId="2918" xr:uid="{00000000-0005-0000-0000-0000E20A0000}"/>
    <cellStyle name="Título 2 42" xfId="1778" xr:uid="{00000000-0005-0000-0000-0000E30A0000}"/>
    <cellStyle name="Título 2 42 2" xfId="2919" xr:uid="{00000000-0005-0000-0000-0000E40A0000}"/>
    <cellStyle name="Título 2 43" xfId="1779" xr:uid="{00000000-0005-0000-0000-0000E50A0000}"/>
    <cellStyle name="Título 2 43 2" xfId="2920" xr:uid="{00000000-0005-0000-0000-0000E60A0000}"/>
    <cellStyle name="Título 2 44" xfId="1780" xr:uid="{00000000-0005-0000-0000-0000E70A0000}"/>
    <cellStyle name="Título 2 44 2" xfId="2921" xr:uid="{00000000-0005-0000-0000-0000E80A0000}"/>
    <cellStyle name="Título 2 45" xfId="1781" xr:uid="{00000000-0005-0000-0000-0000E90A0000}"/>
    <cellStyle name="Título 2 45 2" xfId="2922" xr:uid="{00000000-0005-0000-0000-0000EA0A0000}"/>
    <cellStyle name="Título 2 5" xfId="1782" xr:uid="{00000000-0005-0000-0000-0000EB0A0000}"/>
    <cellStyle name="Título 2 6" xfId="1783" xr:uid="{00000000-0005-0000-0000-0000EC0A0000}"/>
    <cellStyle name="Título 2 7" xfId="1784" xr:uid="{00000000-0005-0000-0000-0000ED0A0000}"/>
    <cellStyle name="Título 2 8" xfId="1785" xr:uid="{00000000-0005-0000-0000-0000EE0A0000}"/>
    <cellStyle name="Título 2 9" xfId="1786" xr:uid="{00000000-0005-0000-0000-0000EF0A0000}"/>
    <cellStyle name="Título 20" xfId="1787" xr:uid="{00000000-0005-0000-0000-0000F00A0000}"/>
    <cellStyle name="Título 21" xfId="1788" xr:uid="{00000000-0005-0000-0000-0000F10A0000}"/>
    <cellStyle name="Título 22" xfId="1789" xr:uid="{00000000-0005-0000-0000-0000F20A0000}"/>
    <cellStyle name="Título 23" xfId="1790" xr:uid="{00000000-0005-0000-0000-0000F30A0000}"/>
    <cellStyle name="Título 24" xfId="1791" xr:uid="{00000000-0005-0000-0000-0000F40A0000}"/>
    <cellStyle name="Título 25" xfId="1792" xr:uid="{00000000-0005-0000-0000-0000F50A0000}"/>
    <cellStyle name="Título 26" xfId="1793" xr:uid="{00000000-0005-0000-0000-0000F60A0000}"/>
    <cellStyle name="Título 27" xfId="1794" xr:uid="{00000000-0005-0000-0000-0000F70A0000}"/>
    <cellStyle name="Título 28" xfId="1795" xr:uid="{00000000-0005-0000-0000-0000F80A0000}"/>
    <cellStyle name="Título 29" xfId="1796" xr:uid="{00000000-0005-0000-0000-0000F90A0000}"/>
    <cellStyle name="Título 3" xfId="2045" builtinId="18" customBuiltin="1"/>
    <cellStyle name="Título 3 1" xfId="1797" xr:uid="{00000000-0005-0000-0000-0000FB0A0000}"/>
    <cellStyle name="Título 3 10" xfId="1798" xr:uid="{00000000-0005-0000-0000-0000FC0A0000}"/>
    <cellStyle name="Título 3 11" xfId="1799" xr:uid="{00000000-0005-0000-0000-0000FD0A0000}"/>
    <cellStyle name="Título 3 12" xfId="1800" xr:uid="{00000000-0005-0000-0000-0000FE0A0000}"/>
    <cellStyle name="Título 3 13" xfId="1801" xr:uid="{00000000-0005-0000-0000-0000FF0A0000}"/>
    <cellStyle name="Título 3 14" xfId="1802" xr:uid="{00000000-0005-0000-0000-0000000B0000}"/>
    <cellStyle name="Título 3 15" xfId="1803" xr:uid="{00000000-0005-0000-0000-0000010B0000}"/>
    <cellStyle name="Título 3 16" xfId="1804" xr:uid="{00000000-0005-0000-0000-0000020B0000}"/>
    <cellStyle name="Título 3 17" xfId="1805" xr:uid="{00000000-0005-0000-0000-0000030B0000}"/>
    <cellStyle name="Título 3 18" xfId="1806" xr:uid="{00000000-0005-0000-0000-0000040B0000}"/>
    <cellStyle name="Título 3 19" xfId="1807" xr:uid="{00000000-0005-0000-0000-0000050B0000}"/>
    <cellStyle name="Título 3 2" xfId="1808" xr:uid="{00000000-0005-0000-0000-0000060B0000}"/>
    <cellStyle name="Título 3 20" xfId="1809" xr:uid="{00000000-0005-0000-0000-0000070B0000}"/>
    <cellStyle name="Título 3 21" xfId="1810" xr:uid="{00000000-0005-0000-0000-0000080B0000}"/>
    <cellStyle name="Título 3 22" xfId="1811" xr:uid="{00000000-0005-0000-0000-0000090B0000}"/>
    <cellStyle name="Título 3 23" xfId="1812" xr:uid="{00000000-0005-0000-0000-00000A0B0000}"/>
    <cellStyle name="Título 3 24" xfId="1813" xr:uid="{00000000-0005-0000-0000-00000B0B0000}"/>
    <cellStyle name="Título 3 25" xfId="1814" xr:uid="{00000000-0005-0000-0000-00000C0B0000}"/>
    <cellStyle name="Título 3 26" xfId="1815" xr:uid="{00000000-0005-0000-0000-00000D0B0000}"/>
    <cellStyle name="Título 3 27" xfId="1816" xr:uid="{00000000-0005-0000-0000-00000E0B0000}"/>
    <cellStyle name="Título 3 28" xfId="1817" xr:uid="{00000000-0005-0000-0000-00000F0B0000}"/>
    <cellStyle name="Título 3 29" xfId="1818" xr:uid="{00000000-0005-0000-0000-0000100B0000}"/>
    <cellStyle name="Título 3 3" xfId="1819" xr:uid="{00000000-0005-0000-0000-0000110B0000}"/>
    <cellStyle name="Título 3 30" xfId="1820" xr:uid="{00000000-0005-0000-0000-0000120B0000}"/>
    <cellStyle name="Título 3 31" xfId="1821" xr:uid="{00000000-0005-0000-0000-0000130B0000}"/>
    <cellStyle name="Título 3 32" xfId="1822" xr:uid="{00000000-0005-0000-0000-0000140B0000}"/>
    <cellStyle name="Título 3 33" xfId="1823" xr:uid="{00000000-0005-0000-0000-0000150B0000}"/>
    <cellStyle name="Título 3 34" xfId="1824" xr:uid="{00000000-0005-0000-0000-0000160B0000}"/>
    <cellStyle name="Título 3 35" xfId="1825" xr:uid="{00000000-0005-0000-0000-0000170B0000}"/>
    <cellStyle name="Título 3 36" xfId="1826" xr:uid="{00000000-0005-0000-0000-0000180B0000}"/>
    <cellStyle name="Título 3 37" xfId="1827" xr:uid="{00000000-0005-0000-0000-0000190B0000}"/>
    <cellStyle name="Título 3 37 2" xfId="2923" xr:uid="{00000000-0005-0000-0000-00001A0B0000}"/>
    <cellStyle name="Título 3 38" xfId="1828" xr:uid="{00000000-0005-0000-0000-00001B0B0000}"/>
    <cellStyle name="Título 3 38 2" xfId="2924" xr:uid="{00000000-0005-0000-0000-00001C0B0000}"/>
    <cellStyle name="Título 3 39" xfId="1829" xr:uid="{00000000-0005-0000-0000-00001D0B0000}"/>
    <cellStyle name="Título 3 39 2" xfId="2925" xr:uid="{00000000-0005-0000-0000-00001E0B0000}"/>
    <cellStyle name="Título 3 4" xfId="1830" xr:uid="{00000000-0005-0000-0000-00001F0B0000}"/>
    <cellStyle name="Título 3 40" xfId="1831" xr:uid="{00000000-0005-0000-0000-0000200B0000}"/>
    <cellStyle name="Título 3 40 2" xfId="2926" xr:uid="{00000000-0005-0000-0000-0000210B0000}"/>
    <cellStyle name="Título 3 41" xfId="1832" xr:uid="{00000000-0005-0000-0000-0000220B0000}"/>
    <cellStyle name="Título 3 41 2" xfId="2927" xr:uid="{00000000-0005-0000-0000-0000230B0000}"/>
    <cellStyle name="Título 3 42" xfId="1833" xr:uid="{00000000-0005-0000-0000-0000240B0000}"/>
    <cellStyle name="Título 3 42 2" xfId="2928" xr:uid="{00000000-0005-0000-0000-0000250B0000}"/>
    <cellStyle name="Título 3 43" xfId="1834" xr:uid="{00000000-0005-0000-0000-0000260B0000}"/>
    <cellStyle name="Título 3 43 2" xfId="2929" xr:uid="{00000000-0005-0000-0000-0000270B0000}"/>
    <cellStyle name="Título 3 44" xfId="1835" xr:uid="{00000000-0005-0000-0000-0000280B0000}"/>
    <cellStyle name="Título 3 44 2" xfId="2930" xr:uid="{00000000-0005-0000-0000-0000290B0000}"/>
    <cellStyle name="Título 3 45" xfId="1836" xr:uid="{00000000-0005-0000-0000-00002A0B0000}"/>
    <cellStyle name="Título 3 45 2" xfId="2931" xr:uid="{00000000-0005-0000-0000-00002B0B0000}"/>
    <cellStyle name="Título 3 5" xfId="1837" xr:uid="{00000000-0005-0000-0000-00002C0B0000}"/>
    <cellStyle name="Título 3 6" xfId="1838" xr:uid="{00000000-0005-0000-0000-00002D0B0000}"/>
    <cellStyle name="Título 3 7" xfId="1839" xr:uid="{00000000-0005-0000-0000-00002E0B0000}"/>
    <cellStyle name="Título 3 8" xfId="1840" xr:uid="{00000000-0005-0000-0000-00002F0B0000}"/>
    <cellStyle name="Título 3 9" xfId="1841" xr:uid="{00000000-0005-0000-0000-0000300B0000}"/>
    <cellStyle name="Título 30" xfId="1842" xr:uid="{00000000-0005-0000-0000-0000310B0000}"/>
    <cellStyle name="Título 31" xfId="1843" xr:uid="{00000000-0005-0000-0000-0000320B0000}"/>
    <cellStyle name="Título 32" xfId="1844" xr:uid="{00000000-0005-0000-0000-0000330B0000}"/>
    <cellStyle name="Título 33" xfId="1845" xr:uid="{00000000-0005-0000-0000-0000340B0000}"/>
    <cellStyle name="Título 34" xfId="1846" xr:uid="{00000000-0005-0000-0000-0000350B0000}"/>
    <cellStyle name="Título 35" xfId="1847" xr:uid="{00000000-0005-0000-0000-0000360B0000}"/>
    <cellStyle name="Título 36" xfId="1848" xr:uid="{00000000-0005-0000-0000-0000370B0000}"/>
    <cellStyle name="Título 37" xfId="1849" xr:uid="{00000000-0005-0000-0000-0000380B0000}"/>
    <cellStyle name="Título 38" xfId="1850" xr:uid="{00000000-0005-0000-0000-0000390B0000}"/>
    <cellStyle name="Título 39" xfId="1851" xr:uid="{00000000-0005-0000-0000-00003A0B0000}"/>
    <cellStyle name="Título 4" xfId="1852" xr:uid="{00000000-0005-0000-0000-00003B0B0000}"/>
    <cellStyle name="Título 40" xfId="1853" xr:uid="{00000000-0005-0000-0000-00003C0B0000}"/>
    <cellStyle name="Título 40 2" xfId="2932" xr:uid="{00000000-0005-0000-0000-00003D0B0000}"/>
    <cellStyle name="Título 41" xfId="1854" xr:uid="{00000000-0005-0000-0000-00003E0B0000}"/>
    <cellStyle name="Título 41 2" xfId="2933" xr:uid="{00000000-0005-0000-0000-00003F0B0000}"/>
    <cellStyle name="Título 42" xfId="1855" xr:uid="{00000000-0005-0000-0000-0000400B0000}"/>
    <cellStyle name="Título 42 2" xfId="2934" xr:uid="{00000000-0005-0000-0000-0000410B0000}"/>
    <cellStyle name="Título 43" xfId="1856" xr:uid="{00000000-0005-0000-0000-0000420B0000}"/>
    <cellStyle name="Título 43 2" xfId="2935" xr:uid="{00000000-0005-0000-0000-0000430B0000}"/>
    <cellStyle name="Título 44" xfId="1857" xr:uid="{00000000-0005-0000-0000-0000440B0000}"/>
    <cellStyle name="Título 44 2" xfId="2936" xr:uid="{00000000-0005-0000-0000-0000450B0000}"/>
    <cellStyle name="Título 45" xfId="1858" xr:uid="{00000000-0005-0000-0000-0000460B0000}"/>
    <cellStyle name="Título 45 2" xfId="2937" xr:uid="{00000000-0005-0000-0000-0000470B0000}"/>
    <cellStyle name="Título 46" xfId="1859" xr:uid="{00000000-0005-0000-0000-0000480B0000}"/>
    <cellStyle name="Título 46 2" xfId="2938" xr:uid="{00000000-0005-0000-0000-0000490B0000}"/>
    <cellStyle name="Título 47" xfId="1860" xr:uid="{00000000-0005-0000-0000-00004A0B0000}"/>
    <cellStyle name="Título 47 2" xfId="2939" xr:uid="{00000000-0005-0000-0000-00004B0B0000}"/>
    <cellStyle name="Título 48" xfId="1861" xr:uid="{00000000-0005-0000-0000-00004C0B0000}"/>
    <cellStyle name="Título 48 2" xfId="2940" xr:uid="{00000000-0005-0000-0000-00004D0B0000}"/>
    <cellStyle name="Título 5" xfId="1862" xr:uid="{00000000-0005-0000-0000-00004E0B0000}"/>
    <cellStyle name="Título 6" xfId="1863" xr:uid="{00000000-0005-0000-0000-00004F0B0000}"/>
    <cellStyle name="Título 7" xfId="1864" xr:uid="{00000000-0005-0000-0000-0000500B0000}"/>
    <cellStyle name="Título 8" xfId="1865" xr:uid="{00000000-0005-0000-0000-0000510B0000}"/>
    <cellStyle name="Título 9" xfId="1866" xr:uid="{00000000-0005-0000-0000-0000520B0000}"/>
    <cellStyle name="Total" xfId="2057" builtinId="25" customBuiltin="1"/>
    <cellStyle name="Total 1" xfId="1867" xr:uid="{00000000-0005-0000-0000-0000540B0000}"/>
    <cellStyle name="Total 10" xfId="1868" xr:uid="{00000000-0005-0000-0000-0000550B0000}"/>
    <cellStyle name="Total 11" xfId="1869" xr:uid="{00000000-0005-0000-0000-0000560B0000}"/>
    <cellStyle name="Total 12" xfId="1870" xr:uid="{00000000-0005-0000-0000-0000570B0000}"/>
    <cellStyle name="Total 13" xfId="1871" xr:uid="{00000000-0005-0000-0000-0000580B0000}"/>
    <cellStyle name="Total 14" xfId="1872" xr:uid="{00000000-0005-0000-0000-0000590B0000}"/>
    <cellStyle name="Total 15" xfId="1873" xr:uid="{00000000-0005-0000-0000-00005A0B0000}"/>
    <cellStyle name="Total 16" xfId="1874" xr:uid="{00000000-0005-0000-0000-00005B0B0000}"/>
    <cellStyle name="Total 17" xfId="1875" xr:uid="{00000000-0005-0000-0000-00005C0B0000}"/>
    <cellStyle name="Total 18" xfId="1876" xr:uid="{00000000-0005-0000-0000-00005D0B0000}"/>
    <cellStyle name="Total 19" xfId="1877" xr:uid="{00000000-0005-0000-0000-00005E0B0000}"/>
    <cellStyle name="Total 2" xfId="1878" xr:uid="{00000000-0005-0000-0000-00005F0B0000}"/>
    <cellStyle name="Total 20" xfId="1879" xr:uid="{00000000-0005-0000-0000-0000600B0000}"/>
    <cellStyle name="Total 21" xfId="1880" xr:uid="{00000000-0005-0000-0000-0000610B0000}"/>
    <cellStyle name="Total 22" xfId="1881" xr:uid="{00000000-0005-0000-0000-0000620B0000}"/>
    <cellStyle name="Total 23" xfId="1882" xr:uid="{00000000-0005-0000-0000-0000630B0000}"/>
    <cellStyle name="Total 24" xfId="1883" xr:uid="{00000000-0005-0000-0000-0000640B0000}"/>
    <cellStyle name="Total 25" xfId="1884" xr:uid="{00000000-0005-0000-0000-0000650B0000}"/>
    <cellStyle name="Total 26" xfId="1885" xr:uid="{00000000-0005-0000-0000-0000660B0000}"/>
    <cellStyle name="Total 27" xfId="1886" xr:uid="{00000000-0005-0000-0000-0000670B0000}"/>
    <cellStyle name="Total 28" xfId="1887" xr:uid="{00000000-0005-0000-0000-0000680B0000}"/>
    <cellStyle name="Total 29" xfId="1888" xr:uid="{00000000-0005-0000-0000-0000690B0000}"/>
    <cellStyle name="Total 3" xfId="1889" xr:uid="{00000000-0005-0000-0000-00006A0B0000}"/>
    <cellStyle name="Total 30" xfId="1890" xr:uid="{00000000-0005-0000-0000-00006B0B0000}"/>
    <cellStyle name="Total 31" xfId="1891" xr:uid="{00000000-0005-0000-0000-00006C0B0000}"/>
    <cellStyle name="Total 32" xfId="1892" xr:uid="{00000000-0005-0000-0000-00006D0B0000}"/>
    <cellStyle name="Total 33" xfId="1893" xr:uid="{00000000-0005-0000-0000-00006E0B0000}"/>
    <cellStyle name="Total 34" xfId="1894" xr:uid="{00000000-0005-0000-0000-00006F0B0000}"/>
    <cellStyle name="Total 35" xfId="1895" xr:uid="{00000000-0005-0000-0000-0000700B0000}"/>
    <cellStyle name="Total 36" xfId="1896" xr:uid="{00000000-0005-0000-0000-0000710B0000}"/>
    <cellStyle name="Total 37" xfId="1897" xr:uid="{00000000-0005-0000-0000-0000720B0000}"/>
    <cellStyle name="Total 37 2" xfId="2941" xr:uid="{00000000-0005-0000-0000-0000730B0000}"/>
    <cellStyle name="Total 38" xfId="1898" xr:uid="{00000000-0005-0000-0000-0000740B0000}"/>
    <cellStyle name="Total 38 2" xfId="2942" xr:uid="{00000000-0005-0000-0000-0000750B0000}"/>
    <cellStyle name="Total 39" xfId="1899" xr:uid="{00000000-0005-0000-0000-0000760B0000}"/>
    <cellStyle name="Total 39 2" xfId="2943" xr:uid="{00000000-0005-0000-0000-0000770B0000}"/>
    <cellStyle name="Total 4" xfId="1900" xr:uid="{00000000-0005-0000-0000-0000780B0000}"/>
    <cellStyle name="Total 40" xfId="1901" xr:uid="{00000000-0005-0000-0000-0000790B0000}"/>
    <cellStyle name="Total 40 2" xfId="2944" xr:uid="{00000000-0005-0000-0000-00007A0B0000}"/>
    <cellStyle name="Total 41" xfId="1902" xr:uid="{00000000-0005-0000-0000-00007B0B0000}"/>
    <cellStyle name="Total 41 2" xfId="2945" xr:uid="{00000000-0005-0000-0000-00007C0B0000}"/>
    <cellStyle name="Total 42" xfId="1903" xr:uid="{00000000-0005-0000-0000-00007D0B0000}"/>
    <cellStyle name="Total 42 2" xfId="2946" xr:uid="{00000000-0005-0000-0000-00007E0B0000}"/>
    <cellStyle name="Total 43" xfId="1904" xr:uid="{00000000-0005-0000-0000-00007F0B0000}"/>
    <cellStyle name="Total 43 2" xfId="2947" xr:uid="{00000000-0005-0000-0000-0000800B0000}"/>
    <cellStyle name="Total 44" xfId="1905" xr:uid="{00000000-0005-0000-0000-0000810B0000}"/>
    <cellStyle name="Total 44 2" xfId="2948" xr:uid="{00000000-0005-0000-0000-0000820B0000}"/>
    <cellStyle name="Total 45" xfId="1906" xr:uid="{00000000-0005-0000-0000-0000830B0000}"/>
    <cellStyle name="Total 45 2" xfId="2949" xr:uid="{00000000-0005-0000-0000-0000840B0000}"/>
    <cellStyle name="Total 5" xfId="1907" xr:uid="{00000000-0005-0000-0000-0000850B0000}"/>
    <cellStyle name="Total 6" xfId="1908" xr:uid="{00000000-0005-0000-0000-0000860B0000}"/>
    <cellStyle name="Total 7" xfId="1909" xr:uid="{00000000-0005-0000-0000-0000870B0000}"/>
    <cellStyle name="Total 8" xfId="1910" xr:uid="{00000000-0005-0000-0000-0000880B0000}"/>
    <cellStyle name="Total 9" xfId="1911" xr:uid="{00000000-0005-0000-0000-0000890B0000}"/>
  </cellStyles>
  <dxfs count="0"/>
  <tableStyles count="0" defaultTableStyle="TableStyleMedium9" defaultPivotStyle="PivotStyleLight16"/>
  <colors>
    <mruColors>
      <color rgb="FF4C216D"/>
      <color rgb="FFC49500"/>
      <color rgb="FFFFFF99"/>
      <color rgb="FFFFFF66"/>
      <color rgb="FFFF990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148</xdr:row>
      <xdr:rowOff>0</xdr:rowOff>
    </xdr:from>
    <xdr:to>
      <xdr:col>14</xdr:col>
      <xdr:colOff>146051</xdr:colOff>
      <xdr:row>149</xdr:row>
      <xdr:rowOff>34925</xdr:rowOff>
    </xdr:to>
    <xdr:pic>
      <xdr:nvPicPr>
        <xdr:cNvPr id="2" name="Picture 34" hidden="1">
          <a:extLst>
            <a:ext uri="{FF2B5EF4-FFF2-40B4-BE49-F238E27FC236}">
              <a16:creationId xmlns:a16="http://schemas.microsoft.com/office/drawing/2014/main" id="{55575ABC-B315-4CCF-A528-75CF880592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050" y="19964400"/>
          <a:ext cx="908051" cy="2317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DECLARACION%20ANUAL%20PROFA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.254\Master%20Capital\Users\julioedgargonzalez\Library\Containers\com.apple.mail\Data\Library\Mail%20Downloads\C805A5C1-C94D-4531-8B78-3C0503AED602\ANUAL%20CONSTRUCTORA%20VIGUERA%20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  <sheetName val="CREDITO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-0.499984740745262"/>
  </sheetPr>
  <dimension ref="A1:M159"/>
  <sheetViews>
    <sheetView tabSelected="1" workbookViewId="0">
      <pane ySplit="4" topLeftCell="A144" activePane="bottomLeft" state="frozen"/>
      <selection pane="bottomLeft" activeCell="D148" sqref="D148"/>
    </sheetView>
  </sheetViews>
  <sheetFormatPr baseColWidth="10" defaultColWidth="11.453125" defaultRowHeight="14.5" x14ac:dyDescent="0.35"/>
  <cols>
    <col min="1" max="1" width="27.54296875" customWidth="1"/>
    <col min="2" max="2" width="11" bestFit="1" customWidth="1"/>
    <col min="3" max="3" width="15.26953125" bestFit="1" customWidth="1"/>
    <col min="4" max="4" width="12.81640625" style="61" customWidth="1"/>
    <col min="5" max="5" width="14.81640625" customWidth="1"/>
    <col min="6" max="6" width="16.54296875" customWidth="1"/>
    <col min="7" max="7" width="20.54296875" style="38" customWidth="1"/>
    <col min="8" max="8" width="16.54296875" style="38" customWidth="1"/>
    <col min="9" max="9" width="11.453125" style="38"/>
    <col min="10" max="10" width="12.54296875" style="38" hidden="1" customWidth="1"/>
    <col min="11" max="13" width="11.453125" style="38" hidden="1" customWidth="1"/>
    <col min="14" max="16384" width="11.453125" style="38"/>
  </cols>
  <sheetData>
    <row r="1" spans="1:12" ht="20" customHeight="1" thickBot="1" x14ac:dyDescent="0.4">
      <c r="A1" s="69" t="s">
        <v>86</v>
      </c>
      <c r="B1" s="70"/>
      <c r="C1" s="70"/>
      <c r="D1" s="70"/>
      <c r="E1" s="70"/>
      <c r="F1" s="71"/>
    </row>
    <row r="2" spans="1:12" ht="15" thickBot="1" x14ac:dyDescent="0.4">
      <c r="A2" s="38"/>
      <c r="B2" s="38"/>
      <c r="C2" s="38"/>
      <c r="D2" s="58"/>
      <c r="E2" s="38"/>
      <c r="F2" s="38"/>
    </row>
    <row r="3" spans="1:12" x14ac:dyDescent="0.35">
      <c r="A3" s="74" t="s">
        <v>1</v>
      </c>
      <c r="B3" s="76" t="s">
        <v>2</v>
      </c>
      <c r="C3" s="78" t="s">
        <v>71</v>
      </c>
      <c r="D3" s="78" t="s">
        <v>4</v>
      </c>
      <c r="E3" s="78" t="s">
        <v>83</v>
      </c>
      <c r="F3" s="72" t="s">
        <v>5</v>
      </c>
    </row>
    <row r="4" spans="1:12" ht="15.75" customHeight="1" x14ac:dyDescent="0.35">
      <c r="A4" s="75"/>
      <c r="B4" s="77"/>
      <c r="C4" s="79"/>
      <c r="D4" s="79"/>
      <c r="E4" s="79"/>
      <c r="F4" s="73"/>
    </row>
    <row r="5" spans="1:12" customFormat="1" ht="15.75" customHeight="1" x14ac:dyDescent="0.35">
      <c r="A5" s="65" t="s">
        <v>90</v>
      </c>
      <c r="B5" s="65" t="s">
        <v>232</v>
      </c>
      <c r="C5" s="66"/>
      <c r="D5" s="67"/>
      <c r="E5" s="68">
        <f t="shared" ref="E5:E68" si="0">D5*30</f>
        <v>0</v>
      </c>
      <c r="F5" s="68">
        <f t="shared" ref="F5:F68" si="1">C5-E5</f>
        <v>0</v>
      </c>
      <c r="J5" s="39">
        <f t="shared" ref="J5:J19" si="2">+C5-I5</f>
        <v>0</v>
      </c>
      <c r="K5" s="42">
        <f>J5*40%</f>
        <v>0</v>
      </c>
      <c r="L5" s="42">
        <f>K5/30</f>
        <v>0</v>
      </c>
    </row>
    <row r="6" spans="1:12" customFormat="1" ht="15.75" customHeight="1" x14ac:dyDescent="0.35">
      <c r="A6" s="65" t="s">
        <v>91</v>
      </c>
      <c r="B6" s="65" t="s">
        <v>233</v>
      </c>
      <c r="C6" s="66"/>
      <c r="D6" s="67"/>
      <c r="E6" s="68">
        <f t="shared" si="0"/>
        <v>0</v>
      </c>
      <c r="F6" s="68">
        <f t="shared" si="1"/>
        <v>0</v>
      </c>
      <c r="J6" s="39">
        <f t="shared" si="2"/>
        <v>0</v>
      </c>
      <c r="K6" s="42">
        <f t="shared" ref="K6:K17" si="3">J6*40%</f>
        <v>0</v>
      </c>
      <c r="L6" s="42">
        <f t="shared" ref="L6:L17" si="4">K6/30</f>
        <v>0</v>
      </c>
    </row>
    <row r="7" spans="1:12" customFormat="1" ht="15.75" customHeight="1" x14ac:dyDescent="0.35">
      <c r="A7" s="65" t="s">
        <v>92</v>
      </c>
      <c r="B7" s="65" t="s">
        <v>234</v>
      </c>
      <c r="C7" s="66"/>
      <c r="D7" s="67"/>
      <c r="E7" s="68">
        <f t="shared" si="0"/>
        <v>0</v>
      </c>
      <c r="F7" s="68">
        <f t="shared" si="1"/>
        <v>0</v>
      </c>
      <c r="J7" s="39">
        <f t="shared" si="2"/>
        <v>0</v>
      </c>
      <c r="K7" s="42">
        <f t="shared" si="3"/>
        <v>0</v>
      </c>
      <c r="L7" s="42">
        <f t="shared" si="4"/>
        <v>0</v>
      </c>
    </row>
    <row r="8" spans="1:12" customFormat="1" ht="15.75" customHeight="1" x14ac:dyDescent="0.35">
      <c r="A8" s="65" t="s">
        <v>93</v>
      </c>
      <c r="B8" s="65" t="s">
        <v>235</v>
      </c>
      <c r="C8" s="66"/>
      <c r="D8" s="67"/>
      <c r="E8" s="68">
        <f t="shared" si="0"/>
        <v>0</v>
      </c>
      <c r="F8" s="68">
        <f t="shared" si="1"/>
        <v>0</v>
      </c>
      <c r="J8" s="39">
        <f t="shared" si="2"/>
        <v>0</v>
      </c>
      <c r="K8" s="42">
        <f t="shared" si="3"/>
        <v>0</v>
      </c>
      <c r="L8" s="42">
        <f t="shared" si="4"/>
        <v>0</v>
      </c>
    </row>
    <row r="9" spans="1:12" customFormat="1" ht="15.75" customHeight="1" x14ac:dyDescent="0.35">
      <c r="A9" s="65" t="s">
        <v>94</v>
      </c>
      <c r="B9" s="65" t="s">
        <v>236</v>
      </c>
      <c r="C9" s="66"/>
      <c r="D9" s="67"/>
      <c r="E9" s="68">
        <f t="shared" si="0"/>
        <v>0</v>
      </c>
      <c r="F9" s="68">
        <f t="shared" si="1"/>
        <v>0</v>
      </c>
      <c r="J9" s="39">
        <f t="shared" si="2"/>
        <v>0</v>
      </c>
      <c r="K9" s="42">
        <f t="shared" si="3"/>
        <v>0</v>
      </c>
      <c r="L9" s="42">
        <f t="shared" si="4"/>
        <v>0</v>
      </c>
    </row>
    <row r="10" spans="1:12" customFormat="1" ht="15.75" customHeight="1" x14ac:dyDescent="0.35">
      <c r="A10" s="65" t="s">
        <v>95</v>
      </c>
      <c r="B10" s="65" t="s">
        <v>237</v>
      </c>
      <c r="C10" s="66"/>
      <c r="D10" s="67"/>
      <c r="E10" s="68">
        <f t="shared" si="0"/>
        <v>0</v>
      </c>
      <c r="F10" s="68">
        <f t="shared" si="1"/>
        <v>0</v>
      </c>
      <c r="J10" s="39">
        <f t="shared" si="2"/>
        <v>0</v>
      </c>
      <c r="K10" s="42">
        <f t="shared" si="3"/>
        <v>0</v>
      </c>
      <c r="L10" s="42">
        <f t="shared" si="4"/>
        <v>0</v>
      </c>
    </row>
    <row r="11" spans="1:12" customFormat="1" ht="15.75" customHeight="1" x14ac:dyDescent="0.35">
      <c r="A11" s="65" t="s">
        <v>96</v>
      </c>
      <c r="B11" s="65" t="s">
        <v>238</v>
      </c>
      <c r="C11" s="66"/>
      <c r="D11" s="67"/>
      <c r="E11" s="68">
        <f t="shared" si="0"/>
        <v>0</v>
      </c>
      <c r="F11" s="68">
        <f t="shared" si="1"/>
        <v>0</v>
      </c>
      <c r="J11" s="39">
        <f t="shared" si="2"/>
        <v>0</v>
      </c>
      <c r="K11" s="42">
        <f t="shared" si="3"/>
        <v>0</v>
      </c>
      <c r="L11" s="42">
        <f t="shared" si="4"/>
        <v>0</v>
      </c>
    </row>
    <row r="12" spans="1:12" customFormat="1" ht="15.75" customHeight="1" x14ac:dyDescent="0.35">
      <c r="A12" s="65" t="s">
        <v>97</v>
      </c>
      <c r="B12" s="65" t="s">
        <v>239</v>
      </c>
      <c r="C12" s="66"/>
      <c r="D12" s="67"/>
      <c r="E12" s="68">
        <f t="shared" si="0"/>
        <v>0</v>
      </c>
      <c r="F12" s="68">
        <f t="shared" si="1"/>
        <v>0</v>
      </c>
      <c r="J12" s="39">
        <f t="shared" si="2"/>
        <v>0</v>
      </c>
      <c r="K12" s="42">
        <f t="shared" si="3"/>
        <v>0</v>
      </c>
      <c r="L12" s="42">
        <f t="shared" si="4"/>
        <v>0</v>
      </c>
    </row>
    <row r="13" spans="1:12" customFormat="1" ht="15.75" customHeight="1" x14ac:dyDescent="0.35">
      <c r="A13" s="65" t="s">
        <v>98</v>
      </c>
      <c r="B13" s="65" t="s">
        <v>240</v>
      </c>
      <c r="C13" s="66"/>
      <c r="D13" s="67"/>
      <c r="E13" s="68">
        <f t="shared" si="0"/>
        <v>0</v>
      </c>
      <c r="F13" s="68">
        <f t="shared" si="1"/>
        <v>0</v>
      </c>
      <c r="J13" s="39">
        <f t="shared" si="2"/>
        <v>0</v>
      </c>
      <c r="K13" s="42">
        <f t="shared" si="3"/>
        <v>0</v>
      </c>
      <c r="L13" s="42">
        <f t="shared" si="4"/>
        <v>0</v>
      </c>
    </row>
    <row r="14" spans="1:12" customFormat="1" ht="15.75" customHeight="1" x14ac:dyDescent="0.35">
      <c r="A14" s="65" t="s">
        <v>99</v>
      </c>
      <c r="B14" s="65" t="s">
        <v>241</v>
      </c>
      <c r="C14" s="66"/>
      <c r="D14" s="67"/>
      <c r="E14" s="68">
        <f t="shared" si="0"/>
        <v>0</v>
      </c>
      <c r="F14" s="68">
        <f t="shared" si="1"/>
        <v>0</v>
      </c>
      <c r="J14" s="39">
        <f t="shared" si="2"/>
        <v>0</v>
      </c>
      <c r="K14" s="42">
        <f t="shared" si="3"/>
        <v>0</v>
      </c>
      <c r="L14" s="42">
        <f t="shared" si="4"/>
        <v>0</v>
      </c>
    </row>
    <row r="15" spans="1:12" customFormat="1" ht="15.75" customHeight="1" x14ac:dyDescent="0.35">
      <c r="A15" s="65" t="s">
        <v>100</v>
      </c>
      <c r="B15" s="65" t="s">
        <v>242</v>
      </c>
      <c r="C15" s="66"/>
      <c r="D15" s="67"/>
      <c r="E15" s="68">
        <f t="shared" si="0"/>
        <v>0</v>
      </c>
      <c r="F15" s="68">
        <f t="shared" si="1"/>
        <v>0</v>
      </c>
      <c r="J15" s="39">
        <f t="shared" si="2"/>
        <v>0</v>
      </c>
      <c r="K15" s="42">
        <f t="shared" si="3"/>
        <v>0</v>
      </c>
      <c r="L15" s="42">
        <f t="shared" si="4"/>
        <v>0</v>
      </c>
    </row>
    <row r="16" spans="1:12" customFormat="1" ht="15.75" customHeight="1" x14ac:dyDescent="0.35">
      <c r="A16" s="65" t="s">
        <v>101</v>
      </c>
      <c r="B16" s="65" t="s">
        <v>243</v>
      </c>
      <c r="C16" s="66"/>
      <c r="D16" s="67"/>
      <c r="E16" s="68">
        <f t="shared" si="0"/>
        <v>0</v>
      </c>
      <c r="F16" s="68">
        <f t="shared" si="1"/>
        <v>0</v>
      </c>
      <c r="J16" s="39">
        <f t="shared" si="2"/>
        <v>0</v>
      </c>
      <c r="K16" s="42">
        <f t="shared" si="3"/>
        <v>0</v>
      </c>
      <c r="L16" s="42">
        <f t="shared" si="4"/>
        <v>0</v>
      </c>
    </row>
    <row r="17" spans="1:12" customFormat="1" ht="15.75" customHeight="1" x14ac:dyDescent="0.35">
      <c r="A17" s="65" t="s">
        <v>102</v>
      </c>
      <c r="B17" s="65" t="s">
        <v>244</v>
      </c>
      <c r="C17" s="66"/>
      <c r="D17" s="67"/>
      <c r="E17" s="68">
        <f t="shared" si="0"/>
        <v>0</v>
      </c>
      <c r="F17" s="68">
        <f t="shared" si="1"/>
        <v>0</v>
      </c>
      <c r="J17" s="39">
        <f t="shared" si="2"/>
        <v>0</v>
      </c>
      <c r="K17" s="42">
        <f t="shared" si="3"/>
        <v>0</v>
      </c>
      <c r="L17" s="42">
        <f t="shared" si="4"/>
        <v>0</v>
      </c>
    </row>
    <row r="18" spans="1:12" customFormat="1" ht="15.75" customHeight="1" x14ac:dyDescent="0.35">
      <c r="A18" s="65" t="s">
        <v>103</v>
      </c>
      <c r="B18" s="65" t="s">
        <v>245</v>
      </c>
      <c r="C18" s="66"/>
      <c r="D18" s="67"/>
      <c r="E18" s="68">
        <f t="shared" si="0"/>
        <v>0</v>
      </c>
      <c r="F18" s="68">
        <f t="shared" si="1"/>
        <v>0</v>
      </c>
      <c r="J18" s="39">
        <f t="shared" si="2"/>
        <v>0</v>
      </c>
      <c r="K18" s="42">
        <f>J18*40%</f>
        <v>0</v>
      </c>
      <c r="L18" s="42">
        <f>K18/30</f>
        <v>0</v>
      </c>
    </row>
    <row r="19" spans="1:12" customFormat="1" ht="15.75" customHeight="1" x14ac:dyDescent="0.35">
      <c r="A19" s="65" t="s">
        <v>104</v>
      </c>
      <c r="B19" s="65" t="s">
        <v>246</v>
      </c>
      <c r="C19" s="66"/>
      <c r="D19" s="67"/>
      <c r="E19" s="68">
        <f t="shared" si="0"/>
        <v>0</v>
      </c>
      <c r="F19" s="68">
        <f t="shared" si="1"/>
        <v>0</v>
      </c>
      <c r="J19" s="39">
        <f t="shared" si="2"/>
        <v>0</v>
      </c>
      <c r="K19" s="42">
        <f t="shared" ref="K19" si="5">J19*40%</f>
        <v>0</v>
      </c>
      <c r="L19" s="42">
        <f t="shared" ref="L19" si="6">K19/30</f>
        <v>0</v>
      </c>
    </row>
    <row r="20" spans="1:12" customFormat="1" ht="15.75" customHeight="1" x14ac:dyDescent="0.35">
      <c r="A20" s="65" t="s">
        <v>105</v>
      </c>
      <c r="B20" s="65" t="s">
        <v>247</v>
      </c>
      <c r="C20" s="66"/>
      <c r="D20" s="67"/>
      <c r="E20" s="68">
        <f t="shared" si="0"/>
        <v>0</v>
      </c>
      <c r="F20" s="68">
        <f t="shared" si="1"/>
        <v>0</v>
      </c>
      <c r="J20" s="39">
        <f t="shared" ref="J20:J21" si="7">+C20-I20</f>
        <v>0</v>
      </c>
      <c r="K20" s="42">
        <f t="shared" ref="K20:K21" si="8">J20*40%</f>
        <v>0</v>
      </c>
      <c r="L20" s="42">
        <f t="shared" ref="L20:L21" si="9">K20/30</f>
        <v>0</v>
      </c>
    </row>
    <row r="21" spans="1:12" customFormat="1" ht="15.75" customHeight="1" x14ac:dyDescent="0.35">
      <c r="A21" s="65" t="s">
        <v>106</v>
      </c>
      <c r="B21" s="65" t="s">
        <v>248</v>
      </c>
      <c r="C21" s="66"/>
      <c r="D21" s="67"/>
      <c r="E21" s="68">
        <f t="shared" si="0"/>
        <v>0</v>
      </c>
      <c r="F21" s="68">
        <f t="shared" si="1"/>
        <v>0</v>
      </c>
      <c r="J21" s="39">
        <f t="shared" si="7"/>
        <v>0</v>
      </c>
      <c r="K21" s="42">
        <f t="shared" si="8"/>
        <v>0</v>
      </c>
      <c r="L21" s="42">
        <f t="shared" si="9"/>
        <v>0</v>
      </c>
    </row>
    <row r="22" spans="1:12" customFormat="1" ht="15.75" customHeight="1" x14ac:dyDescent="0.35">
      <c r="A22" s="65" t="s">
        <v>107</v>
      </c>
      <c r="B22" s="65" t="s">
        <v>249</v>
      </c>
      <c r="C22" s="66"/>
      <c r="D22" s="67"/>
      <c r="E22" s="68">
        <f t="shared" si="0"/>
        <v>0</v>
      </c>
      <c r="F22" s="68">
        <f t="shared" si="1"/>
        <v>0</v>
      </c>
      <c r="J22" s="39">
        <f t="shared" ref="J22:J85" si="10">+C22-I22</f>
        <v>0</v>
      </c>
      <c r="K22" s="42">
        <f t="shared" ref="K22:K85" si="11">J22*40%</f>
        <v>0</v>
      </c>
      <c r="L22" s="42">
        <f t="shared" ref="L22:L85" si="12">K22/30</f>
        <v>0</v>
      </c>
    </row>
    <row r="23" spans="1:12" customFormat="1" ht="15.75" customHeight="1" x14ac:dyDescent="0.35">
      <c r="A23" s="65" t="s">
        <v>108</v>
      </c>
      <c r="B23" s="65" t="s">
        <v>250</v>
      </c>
      <c r="C23" s="66"/>
      <c r="D23" s="67"/>
      <c r="E23" s="68">
        <f t="shared" si="0"/>
        <v>0</v>
      </c>
      <c r="F23" s="68">
        <f t="shared" si="1"/>
        <v>0</v>
      </c>
      <c r="J23" s="39">
        <f t="shared" si="10"/>
        <v>0</v>
      </c>
      <c r="K23" s="42">
        <f t="shared" si="11"/>
        <v>0</v>
      </c>
      <c r="L23" s="42">
        <f t="shared" si="12"/>
        <v>0</v>
      </c>
    </row>
    <row r="24" spans="1:12" customFormat="1" ht="15.75" customHeight="1" x14ac:dyDescent="0.35">
      <c r="A24" s="65" t="s">
        <v>109</v>
      </c>
      <c r="B24" s="65" t="s">
        <v>251</v>
      </c>
      <c r="C24" s="66"/>
      <c r="D24" s="67"/>
      <c r="E24" s="68">
        <f t="shared" si="0"/>
        <v>0</v>
      </c>
      <c r="F24" s="68">
        <f t="shared" si="1"/>
        <v>0</v>
      </c>
      <c r="J24" s="39">
        <f t="shared" si="10"/>
        <v>0</v>
      </c>
      <c r="K24" s="42">
        <f t="shared" si="11"/>
        <v>0</v>
      </c>
      <c r="L24" s="42">
        <f t="shared" si="12"/>
        <v>0</v>
      </c>
    </row>
    <row r="25" spans="1:12" customFormat="1" ht="15.75" customHeight="1" x14ac:dyDescent="0.35">
      <c r="A25" s="65" t="s">
        <v>110</v>
      </c>
      <c r="B25" s="65" t="s">
        <v>252</v>
      </c>
      <c r="C25" s="66"/>
      <c r="D25" s="67"/>
      <c r="E25" s="68">
        <f t="shared" si="0"/>
        <v>0</v>
      </c>
      <c r="F25" s="68">
        <f t="shared" si="1"/>
        <v>0</v>
      </c>
      <c r="J25" s="39">
        <f t="shared" si="10"/>
        <v>0</v>
      </c>
      <c r="K25" s="42">
        <f t="shared" si="11"/>
        <v>0</v>
      </c>
      <c r="L25" s="42">
        <f t="shared" si="12"/>
        <v>0</v>
      </c>
    </row>
    <row r="26" spans="1:12" customFormat="1" ht="15.75" customHeight="1" x14ac:dyDescent="0.35">
      <c r="A26" s="65" t="s">
        <v>111</v>
      </c>
      <c r="B26" s="65" t="s">
        <v>253</v>
      </c>
      <c r="C26" s="66"/>
      <c r="D26" s="67"/>
      <c r="E26" s="68">
        <f t="shared" si="0"/>
        <v>0</v>
      </c>
      <c r="F26" s="68">
        <f t="shared" si="1"/>
        <v>0</v>
      </c>
      <c r="J26" s="39">
        <f t="shared" si="10"/>
        <v>0</v>
      </c>
      <c r="K26" s="42">
        <f t="shared" si="11"/>
        <v>0</v>
      </c>
      <c r="L26" s="42">
        <f t="shared" si="12"/>
        <v>0</v>
      </c>
    </row>
    <row r="27" spans="1:12" customFormat="1" ht="15.75" customHeight="1" x14ac:dyDescent="0.35">
      <c r="A27" s="65" t="s">
        <v>112</v>
      </c>
      <c r="B27" s="65" t="s">
        <v>254</v>
      </c>
      <c r="C27" s="66"/>
      <c r="D27" s="67"/>
      <c r="E27" s="68">
        <f t="shared" si="0"/>
        <v>0</v>
      </c>
      <c r="F27" s="68">
        <f t="shared" si="1"/>
        <v>0</v>
      </c>
      <c r="J27" s="39">
        <f t="shared" si="10"/>
        <v>0</v>
      </c>
      <c r="K27" s="42">
        <f t="shared" si="11"/>
        <v>0</v>
      </c>
      <c r="L27" s="42">
        <f t="shared" si="12"/>
        <v>0</v>
      </c>
    </row>
    <row r="28" spans="1:12" customFormat="1" ht="15.75" customHeight="1" x14ac:dyDescent="0.35">
      <c r="A28" s="65" t="s">
        <v>113</v>
      </c>
      <c r="B28" s="65" t="s">
        <v>255</v>
      </c>
      <c r="C28" s="66"/>
      <c r="D28" s="67"/>
      <c r="E28" s="68">
        <f t="shared" si="0"/>
        <v>0</v>
      </c>
      <c r="F28" s="68">
        <f t="shared" si="1"/>
        <v>0</v>
      </c>
      <c r="J28" s="39">
        <f t="shared" si="10"/>
        <v>0</v>
      </c>
      <c r="K28" s="42">
        <f t="shared" si="11"/>
        <v>0</v>
      </c>
      <c r="L28" s="42">
        <f t="shared" si="12"/>
        <v>0</v>
      </c>
    </row>
    <row r="29" spans="1:12" customFormat="1" ht="15.75" customHeight="1" x14ac:dyDescent="0.35">
      <c r="A29" s="65" t="s">
        <v>114</v>
      </c>
      <c r="B29" s="65" t="s">
        <v>256</v>
      </c>
      <c r="C29" s="66"/>
      <c r="D29" s="67"/>
      <c r="E29" s="68">
        <f t="shared" si="0"/>
        <v>0</v>
      </c>
      <c r="F29" s="68">
        <f t="shared" si="1"/>
        <v>0</v>
      </c>
      <c r="J29" s="39">
        <f t="shared" si="10"/>
        <v>0</v>
      </c>
      <c r="K29" s="42">
        <f t="shared" si="11"/>
        <v>0</v>
      </c>
      <c r="L29" s="42">
        <f t="shared" si="12"/>
        <v>0</v>
      </c>
    </row>
    <row r="30" spans="1:12" customFormat="1" ht="15.75" customHeight="1" x14ac:dyDescent="0.35">
      <c r="A30" s="65" t="s">
        <v>115</v>
      </c>
      <c r="B30" s="65" t="s">
        <v>257</v>
      </c>
      <c r="C30" s="66"/>
      <c r="D30" s="67"/>
      <c r="E30" s="68">
        <f t="shared" si="0"/>
        <v>0</v>
      </c>
      <c r="F30" s="68">
        <f t="shared" si="1"/>
        <v>0</v>
      </c>
      <c r="J30" s="39">
        <f t="shared" si="10"/>
        <v>0</v>
      </c>
      <c r="K30" s="42">
        <f t="shared" si="11"/>
        <v>0</v>
      </c>
      <c r="L30" s="42">
        <f t="shared" si="12"/>
        <v>0</v>
      </c>
    </row>
    <row r="31" spans="1:12" customFormat="1" ht="15.75" customHeight="1" x14ac:dyDescent="0.35">
      <c r="A31" s="65" t="s">
        <v>116</v>
      </c>
      <c r="B31" s="65" t="s">
        <v>258</v>
      </c>
      <c r="C31" s="66"/>
      <c r="D31" s="67"/>
      <c r="E31" s="68">
        <f t="shared" si="0"/>
        <v>0</v>
      </c>
      <c r="F31" s="68">
        <f t="shared" si="1"/>
        <v>0</v>
      </c>
      <c r="J31" s="39">
        <f t="shared" si="10"/>
        <v>0</v>
      </c>
      <c r="K31" s="42">
        <f t="shared" si="11"/>
        <v>0</v>
      </c>
      <c r="L31" s="42">
        <f t="shared" si="12"/>
        <v>0</v>
      </c>
    </row>
    <row r="32" spans="1:12" customFormat="1" ht="15.75" customHeight="1" x14ac:dyDescent="0.35">
      <c r="A32" s="65" t="s">
        <v>117</v>
      </c>
      <c r="B32" s="65" t="s">
        <v>259</v>
      </c>
      <c r="C32" s="66"/>
      <c r="D32" s="67"/>
      <c r="E32" s="68">
        <f t="shared" si="0"/>
        <v>0</v>
      </c>
      <c r="F32" s="68">
        <f t="shared" si="1"/>
        <v>0</v>
      </c>
      <c r="J32" s="39">
        <f t="shared" si="10"/>
        <v>0</v>
      </c>
      <c r="K32" s="42">
        <f t="shared" si="11"/>
        <v>0</v>
      </c>
      <c r="L32" s="42">
        <f t="shared" si="12"/>
        <v>0</v>
      </c>
    </row>
    <row r="33" spans="1:12" customFormat="1" ht="15.75" customHeight="1" x14ac:dyDescent="0.35">
      <c r="A33" s="65" t="s">
        <v>118</v>
      </c>
      <c r="B33" s="65" t="s">
        <v>260</v>
      </c>
      <c r="C33" s="66"/>
      <c r="D33" s="67"/>
      <c r="E33" s="68">
        <f t="shared" si="0"/>
        <v>0</v>
      </c>
      <c r="F33" s="68">
        <f t="shared" si="1"/>
        <v>0</v>
      </c>
      <c r="J33" s="39">
        <f t="shared" si="10"/>
        <v>0</v>
      </c>
      <c r="K33" s="42">
        <f t="shared" si="11"/>
        <v>0</v>
      </c>
      <c r="L33" s="42">
        <f t="shared" si="12"/>
        <v>0</v>
      </c>
    </row>
    <row r="34" spans="1:12" customFormat="1" ht="15.75" customHeight="1" x14ac:dyDescent="0.35">
      <c r="A34" s="65" t="s">
        <v>119</v>
      </c>
      <c r="B34" s="65" t="s">
        <v>261</v>
      </c>
      <c r="C34" s="66"/>
      <c r="D34" s="67"/>
      <c r="E34" s="68">
        <f t="shared" si="0"/>
        <v>0</v>
      </c>
      <c r="F34" s="68">
        <f t="shared" si="1"/>
        <v>0</v>
      </c>
      <c r="J34" s="39">
        <f t="shared" si="10"/>
        <v>0</v>
      </c>
      <c r="K34" s="42">
        <f t="shared" si="11"/>
        <v>0</v>
      </c>
      <c r="L34" s="42">
        <f t="shared" si="12"/>
        <v>0</v>
      </c>
    </row>
    <row r="35" spans="1:12" customFormat="1" ht="15.75" customHeight="1" x14ac:dyDescent="0.35">
      <c r="A35" s="65" t="s">
        <v>120</v>
      </c>
      <c r="B35" s="65" t="s">
        <v>262</v>
      </c>
      <c r="C35" s="66"/>
      <c r="D35" s="67"/>
      <c r="E35" s="68">
        <f t="shared" si="0"/>
        <v>0</v>
      </c>
      <c r="F35" s="68">
        <f t="shared" si="1"/>
        <v>0</v>
      </c>
      <c r="J35" s="39">
        <f t="shared" si="10"/>
        <v>0</v>
      </c>
      <c r="K35" s="42">
        <f t="shared" si="11"/>
        <v>0</v>
      </c>
      <c r="L35" s="42">
        <f t="shared" si="12"/>
        <v>0</v>
      </c>
    </row>
    <row r="36" spans="1:12" customFormat="1" ht="15.75" customHeight="1" x14ac:dyDescent="0.35">
      <c r="A36" s="65" t="s">
        <v>121</v>
      </c>
      <c r="B36" s="65" t="s">
        <v>263</v>
      </c>
      <c r="C36" s="66"/>
      <c r="D36" s="67"/>
      <c r="E36" s="68">
        <f t="shared" si="0"/>
        <v>0</v>
      </c>
      <c r="F36" s="68">
        <f t="shared" si="1"/>
        <v>0</v>
      </c>
      <c r="J36" s="39">
        <f t="shared" si="10"/>
        <v>0</v>
      </c>
      <c r="K36" s="42">
        <f t="shared" si="11"/>
        <v>0</v>
      </c>
      <c r="L36" s="42">
        <f t="shared" si="12"/>
        <v>0</v>
      </c>
    </row>
    <row r="37" spans="1:12" customFormat="1" ht="15.75" customHeight="1" x14ac:dyDescent="0.35">
      <c r="A37" s="65" t="s">
        <v>122</v>
      </c>
      <c r="B37" s="65" t="s">
        <v>264</v>
      </c>
      <c r="C37" s="66"/>
      <c r="D37" s="67"/>
      <c r="E37" s="68">
        <f t="shared" si="0"/>
        <v>0</v>
      </c>
      <c r="F37" s="68">
        <f t="shared" si="1"/>
        <v>0</v>
      </c>
      <c r="J37" s="39">
        <f t="shared" si="10"/>
        <v>0</v>
      </c>
      <c r="K37" s="42">
        <f t="shared" si="11"/>
        <v>0</v>
      </c>
      <c r="L37" s="42">
        <f t="shared" si="12"/>
        <v>0</v>
      </c>
    </row>
    <row r="38" spans="1:12" customFormat="1" ht="15.75" customHeight="1" x14ac:dyDescent="0.35">
      <c r="A38" s="65" t="s">
        <v>123</v>
      </c>
      <c r="B38" s="65" t="s">
        <v>265</v>
      </c>
      <c r="C38" s="66"/>
      <c r="D38" s="67"/>
      <c r="E38" s="68">
        <f t="shared" si="0"/>
        <v>0</v>
      </c>
      <c r="F38" s="68">
        <f t="shared" si="1"/>
        <v>0</v>
      </c>
      <c r="J38" s="39">
        <f t="shared" si="10"/>
        <v>0</v>
      </c>
      <c r="K38" s="42">
        <f t="shared" si="11"/>
        <v>0</v>
      </c>
      <c r="L38" s="42">
        <f t="shared" si="12"/>
        <v>0</v>
      </c>
    </row>
    <row r="39" spans="1:12" customFormat="1" ht="15.75" customHeight="1" x14ac:dyDescent="0.35">
      <c r="A39" s="65" t="s">
        <v>124</v>
      </c>
      <c r="B39" s="65" t="s">
        <v>266</v>
      </c>
      <c r="C39" s="66"/>
      <c r="D39" s="67"/>
      <c r="E39" s="68">
        <f t="shared" si="0"/>
        <v>0</v>
      </c>
      <c r="F39" s="68">
        <f t="shared" si="1"/>
        <v>0</v>
      </c>
      <c r="J39" s="39">
        <f t="shared" si="10"/>
        <v>0</v>
      </c>
      <c r="K39" s="42">
        <f t="shared" si="11"/>
        <v>0</v>
      </c>
      <c r="L39" s="42">
        <f t="shared" si="12"/>
        <v>0</v>
      </c>
    </row>
    <row r="40" spans="1:12" customFormat="1" ht="15.75" customHeight="1" x14ac:dyDescent="0.35">
      <c r="A40" s="65" t="s">
        <v>125</v>
      </c>
      <c r="B40" s="65" t="s">
        <v>267</v>
      </c>
      <c r="C40" s="66"/>
      <c r="D40" s="67"/>
      <c r="E40" s="68">
        <f t="shared" si="0"/>
        <v>0</v>
      </c>
      <c r="F40" s="68">
        <f t="shared" si="1"/>
        <v>0</v>
      </c>
      <c r="J40" s="39">
        <f t="shared" si="10"/>
        <v>0</v>
      </c>
      <c r="K40" s="42">
        <f t="shared" si="11"/>
        <v>0</v>
      </c>
      <c r="L40" s="42">
        <f t="shared" si="12"/>
        <v>0</v>
      </c>
    </row>
    <row r="41" spans="1:12" customFormat="1" ht="15.75" customHeight="1" x14ac:dyDescent="0.35">
      <c r="A41" s="65" t="s">
        <v>126</v>
      </c>
      <c r="B41" s="65" t="s">
        <v>268</v>
      </c>
      <c r="C41" s="66"/>
      <c r="D41" s="67"/>
      <c r="E41" s="68">
        <f t="shared" si="0"/>
        <v>0</v>
      </c>
      <c r="F41" s="68">
        <f t="shared" si="1"/>
        <v>0</v>
      </c>
      <c r="J41" s="39">
        <f t="shared" si="10"/>
        <v>0</v>
      </c>
      <c r="K41" s="42">
        <f t="shared" si="11"/>
        <v>0</v>
      </c>
      <c r="L41" s="42">
        <f t="shared" si="12"/>
        <v>0</v>
      </c>
    </row>
    <row r="42" spans="1:12" customFormat="1" ht="15.75" customHeight="1" x14ac:dyDescent="0.35">
      <c r="A42" s="65" t="s">
        <v>127</v>
      </c>
      <c r="B42" s="65" t="s">
        <v>269</v>
      </c>
      <c r="C42" s="66"/>
      <c r="D42" s="67"/>
      <c r="E42" s="68">
        <f t="shared" si="0"/>
        <v>0</v>
      </c>
      <c r="F42" s="68">
        <f t="shared" si="1"/>
        <v>0</v>
      </c>
      <c r="J42" s="39">
        <f t="shared" si="10"/>
        <v>0</v>
      </c>
      <c r="K42" s="42">
        <f t="shared" si="11"/>
        <v>0</v>
      </c>
      <c r="L42" s="42">
        <f t="shared" si="12"/>
        <v>0</v>
      </c>
    </row>
    <row r="43" spans="1:12" customFormat="1" ht="15.75" customHeight="1" x14ac:dyDescent="0.35">
      <c r="A43" s="65" t="s">
        <v>128</v>
      </c>
      <c r="B43" s="65" t="s">
        <v>270</v>
      </c>
      <c r="C43" s="66"/>
      <c r="D43" s="67"/>
      <c r="E43" s="68">
        <f t="shared" si="0"/>
        <v>0</v>
      </c>
      <c r="F43" s="68">
        <f t="shared" si="1"/>
        <v>0</v>
      </c>
      <c r="J43" s="39">
        <f t="shared" si="10"/>
        <v>0</v>
      </c>
      <c r="K43" s="42">
        <f t="shared" si="11"/>
        <v>0</v>
      </c>
      <c r="L43" s="42">
        <f t="shared" si="12"/>
        <v>0</v>
      </c>
    </row>
    <row r="44" spans="1:12" customFormat="1" ht="15.75" customHeight="1" x14ac:dyDescent="0.35">
      <c r="A44" s="65" t="s">
        <v>129</v>
      </c>
      <c r="B44" s="65" t="s">
        <v>271</v>
      </c>
      <c r="C44" s="66"/>
      <c r="D44" s="67"/>
      <c r="E44" s="68">
        <f t="shared" si="0"/>
        <v>0</v>
      </c>
      <c r="F44" s="68">
        <f t="shared" si="1"/>
        <v>0</v>
      </c>
      <c r="J44" s="39">
        <f t="shared" si="10"/>
        <v>0</v>
      </c>
      <c r="K44" s="42">
        <f t="shared" si="11"/>
        <v>0</v>
      </c>
      <c r="L44" s="42">
        <f t="shared" si="12"/>
        <v>0</v>
      </c>
    </row>
    <row r="45" spans="1:12" customFormat="1" ht="15.75" customHeight="1" x14ac:dyDescent="0.35">
      <c r="A45" s="65" t="s">
        <v>130</v>
      </c>
      <c r="B45" s="65" t="s">
        <v>272</v>
      </c>
      <c r="C45" s="66"/>
      <c r="D45" s="67"/>
      <c r="E45" s="68">
        <f t="shared" si="0"/>
        <v>0</v>
      </c>
      <c r="F45" s="68">
        <f t="shared" si="1"/>
        <v>0</v>
      </c>
      <c r="J45" s="39">
        <f t="shared" si="10"/>
        <v>0</v>
      </c>
      <c r="K45" s="42">
        <f t="shared" si="11"/>
        <v>0</v>
      </c>
      <c r="L45" s="42">
        <f t="shared" si="12"/>
        <v>0</v>
      </c>
    </row>
    <row r="46" spans="1:12" customFormat="1" ht="15.75" customHeight="1" x14ac:dyDescent="0.35">
      <c r="A46" s="65" t="s">
        <v>131</v>
      </c>
      <c r="B46" s="65" t="s">
        <v>273</v>
      </c>
      <c r="C46" s="66"/>
      <c r="D46" s="67"/>
      <c r="E46" s="68">
        <f t="shared" si="0"/>
        <v>0</v>
      </c>
      <c r="F46" s="68">
        <f t="shared" si="1"/>
        <v>0</v>
      </c>
      <c r="J46" s="39">
        <f t="shared" si="10"/>
        <v>0</v>
      </c>
      <c r="K46" s="42">
        <f t="shared" si="11"/>
        <v>0</v>
      </c>
      <c r="L46" s="42">
        <f t="shared" si="12"/>
        <v>0</v>
      </c>
    </row>
    <row r="47" spans="1:12" customFormat="1" ht="15.75" customHeight="1" x14ac:dyDescent="0.35">
      <c r="A47" s="65" t="s">
        <v>132</v>
      </c>
      <c r="B47" s="65" t="s">
        <v>274</v>
      </c>
      <c r="C47" s="66"/>
      <c r="D47" s="67"/>
      <c r="E47" s="68">
        <f t="shared" si="0"/>
        <v>0</v>
      </c>
      <c r="F47" s="68">
        <f t="shared" si="1"/>
        <v>0</v>
      </c>
      <c r="J47" s="39">
        <f t="shared" si="10"/>
        <v>0</v>
      </c>
      <c r="K47" s="42">
        <f t="shared" si="11"/>
        <v>0</v>
      </c>
      <c r="L47" s="42">
        <f t="shared" si="12"/>
        <v>0</v>
      </c>
    </row>
    <row r="48" spans="1:12" customFormat="1" ht="15.75" customHeight="1" x14ac:dyDescent="0.35">
      <c r="A48" s="65" t="s">
        <v>133</v>
      </c>
      <c r="B48" s="65" t="s">
        <v>275</v>
      </c>
      <c r="C48" s="66"/>
      <c r="D48" s="67"/>
      <c r="E48" s="68">
        <f t="shared" si="0"/>
        <v>0</v>
      </c>
      <c r="F48" s="68">
        <f t="shared" si="1"/>
        <v>0</v>
      </c>
      <c r="J48" s="39">
        <f t="shared" si="10"/>
        <v>0</v>
      </c>
      <c r="K48" s="42">
        <f t="shared" si="11"/>
        <v>0</v>
      </c>
      <c r="L48" s="42">
        <f t="shared" si="12"/>
        <v>0</v>
      </c>
    </row>
    <row r="49" spans="1:12" customFormat="1" ht="15.75" customHeight="1" x14ac:dyDescent="0.35">
      <c r="A49" s="65" t="s">
        <v>134</v>
      </c>
      <c r="B49" s="65" t="s">
        <v>276</v>
      </c>
      <c r="C49" s="66"/>
      <c r="D49" s="67"/>
      <c r="E49" s="68">
        <f t="shared" si="0"/>
        <v>0</v>
      </c>
      <c r="F49" s="68">
        <f t="shared" si="1"/>
        <v>0</v>
      </c>
      <c r="J49" s="39">
        <f t="shared" si="10"/>
        <v>0</v>
      </c>
      <c r="K49" s="42">
        <f t="shared" si="11"/>
        <v>0</v>
      </c>
      <c r="L49" s="42">
        <f t="shared" si="12"/>
        <v>0</v>
      </c>
    </row>
    <row r="50" spans="1:12" customFormat="1" ht="15.75" customHeight="1" x14ac:dyDescent="0.35">
      <c r="A50" s="65" t="s">
        <v>135</v>
      </c>
      <c r="B50" s="65" t="s">
        <v>277</v>
      </c>
      <c r="C50" s="66"/>
      <c r="D50" s="67"/>
      <c r="E50" s="68">
        <f t="shared" si="0"/>
        <v>0</v>
      </c>
      <c r="F50" s="68">
        <f t="shared" si="1"/>
        <v>0</v>
      </c>
      <c r="J50" s="39">
        <f t="shared" si="10"/>
        <v>0</v>
      </c>
      <c r="K50" s="42">
        <f t="shared" si="11"/>
        <v>0</v>
      </c>
      <c r="L50" s="42">
        <f t="shared" si="12"/>
        <v>0</v>
      </c>
    </row>
    <row r="51" spans="1:12" customFormat="1" ht="15.75" customHeight="1" x14ac:dyDescent="0.35">
      <c r="A51" s="65" t="s">
        <v>136</v>
      </c>
      <c r="B51" s="65" t="s">
        <v>278</v>
      </c>
      <c r="C51" s="66"/>
      <c r="D51" s="67"/>
      <c r="E51" s="68">
        <f t="shared" si="0"/>
        <v>0</v>
      </c>
      <c r="F51" s="68">
        <f t="shared" si="1"/>
        <v>0</v>
      </c>
      <c r="J51" s="39">
        <f t="shared" si="10"/>
        <v>0</v>
      </c>
      <c r="K51" s="42">
        <f t="shared" si="11"/>
        <v>0</v>
      </c>
      <c r="L51" s="42">
        <f t="shared" si="12"/>
        <v>0</v>
      </c>
    </row>
    <row r="52" spans="1:12" customFormat="1" ht="15.75" customHeight="1" x14ac:dyDescent="0.35">
      <c r="A52" s="65" t="s">
        <v>137</v>
      </c>
      <c r="B52" s="65" t="s">
        <v>279</v>
      </c>
      <c r="C52" s="66"/>
      <c r="D52" s="67"/>
      <c r="E52" s="68">
        <f t="shared" si="0"/>
        <v>0</v>
      </c>
      <c r="F52" s="68">
        <f t="shared" si="1"/>
        <v>0</v>
      </c>
      <c r="J52" s="39">
        <f t="shared" si="10"/>
        <v>0</v>
      </c>
      <c r="K52" s="42">
        <f t="shared" si="11"/>
        <v>0</v>
      </c>
      <c r="L52" s="42">
        <f t="shared" si="12"/>
        <v>0</v>
      </c>
    </row>
    <row r="53" spans="1:12" customFormat="1" ht="15.75" customHeight="1" x14ac:dyDescent="0.35">
      <c r="A53" s="65" t="s">
        <v>138</v>
      </c>
      <c r="B53" s="65" t="s">
        <v>280</v>
      </c>
      <c r="C53" s="66"/>
      <c r="D53" s="67"/>
      <c r="E53" s="68">
        <f t="shared" si="0"/>
        <v>0</v>
      </c>
      <c r="F53" s="68">
        <f t="shared" si="1"/>
        <v>0</v>
      </c>
      <c r="J53" s="39">
        <f t="shared" si="10"/>
        <v>0</v>
      </c>
      <c r="K53" s="42">
        <f t="shared" si="11"/>
        <v>0</v>
      </c>
      <c r="L53" s="42">
        <f t="shared" si="12"/>
        <v>0</v>
      </c>
    </row>
    <row r="54" spans="1:12" customFormat="1" ht="15.75" customHeight="1" x14ac:dyDescent="0.35">
      <c r="A54" s="65" t="s">
        <v>139</v>
      </c>
      <c r="B54" s="65" t="s">
        <v>281</v>
      </c>
      <c r="C54" s="66"/>
      <c r="D54" s="67"/>
      <c r="E54" s="68">
        <f t="shared" si="0"/>
        <v>0</v>
      </c>
      <c r="F54" s="68">
        <f t="shared" si="1"/>
        <v>0</v>
      </c>
      <c r="J54" s="39">
        <f t="shared" si="10"/>
        <v>0</v>
      </c>
      <c r="K54" s="42">
        <f t="shared" si="11"/>
        <v>0</v>
      </c>
      <c r="L54" s="42">
        <f t="shared" si="12"/>
        <v>0</v>
      </c>
    </row>
    <row r="55" spans="1:12" customFormat="1" ht="15.75" customHeight="1" x14ac:dyDescent="0.35">
      <c r="A55" s="65" t="s">
        <v>140</v>
      </c>
      <c r="B55" s="65" t="s">
        <v>282</v>
      </c>
      <c r="C55" s="66"/>
      <c r="D55" s="67"/>
      <c r="E55" s="68">
        <f t="shared" si="0"/>
        <v>0</v>
      </c>
      <c r="F55" s="68">
        <f t="shared" si="1"/>
        <v>0</v>
      </c>
      <c r="J55" s="39">
        <f t="shared" si="10"/>
        <v>0</v>
      </c>
      <c r="K55" s="42">
        <f t="shared" si="11"/>
        <v>0</v>
      </c>
      <c r="L55" s="42">
        <f t="shared" si="12"/>
        <v>0</v>
      </c>
    </row>
    <row r="56" spans="1:12" customFormat="1" ht="15.75" customHeight="1" x14ac:dyDescent="0.35">
      <c r="A56" s="65" t="s">
        <v>141</v>
      </c>
      <c r="B56" s="65" t="s">
        <v>283</v>
      </c>
      <c r="C56" s="66"/>
      <c r="D56" s="67"/>
      <c r="E56" s="68">
        <f t="shared" si="0"/>
        <v>0</v>
      </c>
      <c r="F56" s="68">
        <f t="shared" si="1"/>
        <v>0</v>
      </c>
      <c r="J56" s="39">
        <f t="shared" si="10"/>
        <v>0</v>
      </c>
      <c r="K56" s="42">
        <f t="shared" si="11"/>
        <v>0</v>
      </c>
      <c r="L56" s="42">
        <f t="shared" si="12"/>
        <v>0</v>
      </c>
    </row>
    <row r="57" spans="1:12" customFormat="1" ht="15.75" customHeight="1" x14ac:dyDescent="0.35">
      <c r="A57" s="65" t="s">
        <v>142</v>
      </c>
      <c r="B57" s="65" t="s">
        <v>284</v>
      </c>
      <c r="C57" s="66"/>
      <c r="D57" s="67"/>
      <c r="E57" s="68">
        <f t="shared" si="0"/>
        <v>0</v>
      </c>
      <c r="F57" s="68">
        <f t="shared" si="1"/>
        <v>0</v>
      </c>
      <c r="J57" s="39">
        <f t="shared" si="10"/>
        <v>0</v>
      </c>
      <c r="K57" s="42">
        <f t="shared" si="11"/>
        <v>0</v>
      </c>
      <c r="L57" s="42">
        <f t="shared" si="12"/>
        <v>0</v>
      </c>
    </row>
    <row r="58" spans="1:12" customFormat="1" ht="15.75" customHeight="1" x14ac:dyDescent="0.35">
      <c r="A58" s="65" t="s">
        <v>143</v>
      </c>
      <c r="B58" s="65" t="s">
        <v>285</v>
      </c>
      <c r="C58" s="66"/>
      <c r="D58" s="67"/>
      <c r="E58" s="68">
        <f t="shared" si="0"/>
        <v>0</v>
      </c>
      <c r="F58" s="68">
        <f t="shared" si="1"/>
        <v>0</v>
      </c>
      <c r="J58" s="39">
        <f t="shared" si="10"/>
        <v>0</v>
      </c>
      <c r="K58" s="42">
        <f t="shared" si="11"/>
        <v>0</v>
      </c>
      <c r="L58" s="42">
        <f t="shared" si="12"/>
        <v>0</v>
      </c>
    </row>
    <row r="59" spans="1:12" customFormat="1" ht="15.75" customHeight="1" x14ac:dyDescent="0.35">
      <c r="A59" s="65" t="s">
        <v>144</v>
      </c>
      <c r="B59" s="65" t="s">
        <v>286</v>
      </c>
      <c r="C59" s="66"/>
      <c r="D59" s="67"/>
      <c r="E59" s="68">
        <f t="shared" si="0"/>
        <v>0</v>
      </c>
      <c r="F59" s="68">
        <f t="shared" si="1"/>
        <v>0</v>
      </c>
      <c r="J59" s="39">
        <f t="shared" si="10"/>
        <v>0</v>
      </c>
      <c r="K59" s="42">
        <f t="shared" si="11"/>
        <v>0</v>
      </c>
      <c r="L59" s="42">
        <f t="shared" si="12"/>
        <v>0</v>
      </c>
    </row>
    <row r="60" spans="1:12" customFormat="1" ht="15.75" customHeight="1" x14ac:dyDescent="0.35">
      <c r="A60" s="65" t="s">
        <v>145</v>
      </c>
      <c r="B60" s="65" t="s">
        <v>287</v>
      </c>
      <c r="C60" s="66"/>
      <c r="D60" s="67"/>
      <c r="E60" s="68">
        <f t="shared" si="0"/>
        <v>0</v>
      </c>
      <c r="F60" s="68">
        <f t="shared" si="1"/>
        <v>0</v>
      </c>
      <c r="J60" s="39">
        <f t="shared" si="10"/>
        <v>0</v>
      </c>
      <c r="K60" s="42">
        <f t="shared" si="11"/>
        <v>0</v>
      </c>
      <c r="L60" s="42">
        <f t="shared" si="12"/>
        <v>0</v>
      </c>
    </row>
    <row r="61" spans="1:12" customFormat="1" ht="15.75" customHeight="1" x14ac:dyDescent="0.35">
      <c r="A61" s="65" t="s">
        <v>146</v>
      </c>
      <c r="B61" s="65" t="s">
        <v>288</v>
      </c>
      <c r="C61" s="66"/>
      <c r="D61" s="67"/>
      <c r="E61" s="68">
        <f t="shared" si="0"/>
        <v>0</v>
      </c>
      <c r="F61" s="68">
        <f t="shared" si="1"/>
        <v>0</v>
      </c>
      <c r="J61" s="39">
        <f t="shared" si="10"/>
        <v>0</v>
      </c>
      <c r="K61" s="42">
        <f t="shared" si="11"/>
        <v>0</v>
      </c>
      <c r="L61" s="42">
        <f t="shared" si="12"/>
        <v>0</v>
      </c>
    </row>
    <row r="62" spans="1:12" customFormat="1" ht="15.75" customHeight="1" x14ac:dyDescent="0.35">
      <c r="A62" s="65" t="s">
        <v>147</v>
      </c>
      <c r="B62" s="65" t="s">
        <v>289</v>
      </c>
      <c r="C62" s="66"/>
      <c r="D62" s="67"/>
      <c r="E62" s="68">
        <f t="shared" si="0"/>
        <v>0</v>
      </c>
      <c r="F62" s="68">
        <f t="shared" si="1"/>
        <v>0</v>
      </c>
      <c r="J62" s="39">
        <f t="shared" si="10"/>
        <v>0</v>
      </c>
      <c r="K62" s="42">
        <f t="shared" si="11"/>
        <v>0</v>
      </c>
      <c r="L62" s="42">
        <f t="shared" si="12"/>
        <v>0</v>
      </c>
    </row>
    <row r="63" spans="1:12" customFormat="1" ht="15.75" customHeight="1" x14ac:dyDescent="0.35">
      <c r="A63" s="65" t="s">
        <v>148</v>
      </c>
      <c r="B63" s="65" t="s">
        <v>290</v>
      </c>
      <c r="C63" s="66"/>
      <c r="D63" s="67"/>
      <c r="E63" s="68">
        <f t="shared" si="0"/>
        <v>0</v>
      </c>
      <c r="F63" s="68">
        <f t="shared" si="1"/>
        <v>0</v>
      </c>
      <c r="J63" s="39">
        <f t="shared" si="10"/>
        <v>0</v>
      </c>
      <c r="K63" s="42">
        <f t="shared" si="11"/>
        <v>0</v>
      </c>
      <c r="L63" s="42">
        <f t="shared" si="12"/>
        <v>0</v>
      </c>
    </row>
    <row r="64" spans="1:12" customFormat="1" ht="15.75" customHeight="1" x14ac:dyDescent="0.35">
      <c r="A64" s="65" t="s">
        <v>149</v>
      </c>
      <c r="B64" s="65" t="s">
        <v>291</v>
      </c>
      <c r="C64" s="66"/>
      <c r="D64" s="67"/>
      <c r="E64" s="68">
        <f t="shared" si="0"/>
        <v>0</v>
      </c>
      <c r="F64" s="68">
        <f t="shared" si="1"/>
        <v>0</v>
      </c>
      <c r="J64" s="39">
        <f t="shared" si="10"/>
        <v>0</v>
      </c>
      <c r="K64" s="42">
        <f t="shared" si="11"/>
        <v>0</v>
      </c>
      <c r="L64" s="42">
        <f t="shared" si="12"/>
        <v>0</v>
      </c>
    </row>
    <row r="65" spans="1:12" customFormat="1" ht="15.75" customHeight="1" x14ac:dyDescent="0.35">
      <c r="A65" s="65" t="s">
        <v>150</v>
      </c>
      <c r="B65" s="65" t="s">
        <v>292</v>
      </c>
      <c r="C65" s="66"/>
      <c r="D65" s="67"/>
      <c r="E65" s="68">
        <f t="shared" si="0"/>
        <v>0</v>
      </c>
      <c r="F65" s="68">
        <f t="shared" si="1"/>
        <v>0</v>
      </c>
      <c r="J65" s="39">
        <f t="shared" si="10"/>
        <v>0</v>
      </c>
      <c r="K65" s="42">
        <f t="shared" si="11"/>
        <v>0</v>
      </c>
      <c r="L65" s="42">
        <f t="shared" si="12"/>
        <v>0</v>
      </c>
    </row>
    <row r="66" spans="1:12" customFormat="1" ht="15.75" customHeight="1" x14ac:dyDescent="0.35">
      <c r="A66" s="65" t="s">
        <v>151</v>
      </c>
      <c r="B66" s="65" t="s">
        <v>293</v>
      </c>
      <c r="C66" s="66"/>
      <c r="D66" s="67"/>
      <c r="E66" s="68">
        <f t="shared" si="0"/>
        <v>0</v>
      </c>
      <c r="F66" s="68">
        <f t="shared" si="1"/>
        <v>0</v>
      </c>
      <c r="J66" s="39">
        <f t="shared" si="10"/>
        <v>0</v>
      </c>
      <c r="K66" s="42">
        <f t="shared" si="11"/>
        <v>0</v>
      </c>
      <c r="L66" s="42">
        <f t="shared" si="12"/>
        <v>0</v>
      </c>
    </row>
    <row r="67" spans="1:12" customFormat="1" ht="15.75" customHeight="1" x14ac:dyDescent="0.35">
      <c r="A67" s="65" t="s">
        <v>152</v>
      </c>
      <c r="B67" s="65" t="s">
        <v>294</v>
      </c>
      <c r="C67" s="66"/>
      <c r="D67" s="67"/>
      <c r="E67" s="68">
        <f t="shared" si="0"/>
        <v>0</v>
      </c>
      <c r="F67" s="68">
        <f t="shared" si="1"/>
        <v>0</v>
      </c>
      <c r="J67" s="39">
        <f t="shared" si="10"/>
        <v>0</v>
      </c>
      <c r="K67" s="42">
        <f t="shared" si="11"/>
        <v>0</v>
      </c>
      <c r="L67" s="42">
        <f t="shared" si="12"/>
        <v>0</v>
      </c>
    </row>
    <row r="68" spans="1:12" customFormat="1" ht="15.75" customHeight="1" x14ac:dyDescent="0.35">
      <c r="A68" s="65" t="s">
        <v>153</v>
      </c>
      <c r="B68" s="65" t="s">
        <v>295</v>
      </c>
      <c r="C68" s="66"/>
      <c r="D68" s="67"/>
      <c r="E68" s="68">
        <f t="shared" si="0"/>
        <v>0</v>
      </c>
      <c r="F68" s="68">
        <f t="shared" si="1"/>
        <v>0</v>
      </c>
      <c r="J68" s="39">
        <f t="shared" si="10"/>
        <v>0</v>
      </c>
      <c r="K68" s="42">
        <f t="shared" si="11"/>
        <v>0</v>
      </c>
      <c r="L68" s="42">
        <f t="shared" si="12"/>
        <v>0</v>
      </c>
    </row>
    <row r="69" spans="1:12" customFormat="1" ht="15.75" customHeight="1" x14ac:dyDescent="0.35">
      <c r="A69" s="65" t="s">
        <v>154</v>
      </c>
      <c r="B69" s="65" t="s">
        <v>296</v>
      </c>
      <c r="C69" s="66"/>
      <c r="D69" s="67"/>
      <c r="E69" s="68">
        <f t="shared" ref="E69:E113" si="13">D69*30</f>
        <v>0</v>
      </c>
      <c r="F69" s="68">
        <f t="shared" ref="F69:F113" si="14">C69-E69</f>
        <v>0</v>
      </c>
      <c r="J69" s="39">
        <f t="shared" si="10"/>
        <v>0</v>
      </c>
      <c r="K69" s="42">
        <f t="shared" si="11"/>
        <v>0</v>
      </c>
      <c r="L69" s="42">
        <f t="shared" si="12"/>
        <v>0</v>
      </c>
    </row>
    <row r="70" spans="1:12" customFormat="1" ht="15.75" customHeight="1" x14ac:dyDescent="0.35">
      <c r="A70" s="65" t="s">
        <v>155</v>
      </c>
      <c r="B70" s="65" t="s">
        <v>297</v>
      </c>
      <c r="C70" s="66"/>
      <c r="D70" s="67"/>
      <c r="E70" s="68">
        <f t="shared" si="13"/>
        <v>0</v>
      </c>
      <c r="F70" s="68">
        <f t="shared" si="14"/>
        <v>0</v>
      </c>
      <c r="J70" s="39">
        <f t="shared" si="10"/>
        <v>0</v>
      </c>
      <c r="K70" s="42">
        <f t="shared" si="11"/>
        <v>0</v>
      </c>
      <c r="L70" s="42">
        <f t="shared" si="12"/>
        <v>0</v>
      </c>
    </row>
    <row r="71" spans="1:12" customFormat="1" ht="15.75" customHeight="1" x14ac:dyDescent="0.35">
      <c r="A71" s="65" t="s">
        <v>156</v>
      </c>
      <c r="B71" s="65" t="s">
        <v>298</v>
      </c>
      <c r="C71" s="66"/>
      <c r="D71" s="67"/>
      <c r="E71" s="68">
        <f t="shared" si="13"/>
        <v>0</v>
      </c>
      <c r="F71" s="68">
        <f t="shared" si="14"/>
        <v>0</v>
      </c>
      <c r="J71" s="39">
        <f t="shared" si="10"/>
        <v>0</v>
      </c>
      <c r="K71" s="42">
        <f t="shared" si="11"/>
        <v>0</v>
      </c>
      <c r="L71" s="42">
        <f t="shared" si="12"/>
        <v>0</v>
      </c>
    </row>
    <row r="72" spans="1:12" customFormat="1" ht="15.75" customHeight="1" x14ac:dyDescent="0.35">
      <c r="A72" s="65" t="s">
        <v>157</v>
      </c>
      <c r="B72" s="65" t="s">
        <v>299</v>
      </c>
      <c r="C72" s="66"/>
      <c r="D72" s="67"/>
      <c r="E72" s="68">
        <f t="shared" si="13"/>
        <v>0</v>
      </c>
      <c r="F72" s="68">
        <f t="shared" si="14"/>
        <v>0</v>
      </c>
      <c r="J72" s="39">
        <f t="shared" si="10"/>
        <v>0</v>
      </c>
      <c r="K72" s="42">
        <f t="shared" si="11"/>
        <v>0</v>
      </c>
      <c r="L72" s="42">
        <f t="shared" si="12"/>
        <v>0</v>
      </c>
    </row>
    <row r="73" spans="1:12" customFormat="1" ht="15.75" customHeight="1" x14ac:dyDescent="0.35">
      <c r="A73" s="65" t="s">
        <v>158</v>
      </c>
      <c r="B73" s="65" t="s">
        <v>300</v>
      </c>
      <c r="C73" s="66"/>
      <c r="D73" s="67"/>
      <c r="E73" s="68">
        <f t="shared" si="13"/>
        <v>0</v>
      </c>
      <c r="F73" s="68">
        <f t="shared" si="14"/>
        <v>0</v>
      </c>
      <c r="J73" s="39">
        <f t="shared" si="10"/>
        <v>0</v>
      </c>
      <c r="K73" s="42">
        <f t="shared" si="11"/>
        <v>0</v>
      </c>
      <c r="L73" s="42">
        <f t="shared" si="12"/>
        <v>0</v>
      </c>
    </row>
    <row r="74" spans="1:12" customFormat="1" ht="15.75" customHeight="1" x14ac:dyDescent="0.35">
      <c r="A74" s="65" t="s">
        <v>159</v>
      </c>
      <c r="B74" s="65" t="s">
        <v>301</v>
      </c>
      <c r="C74" s="66"/>
      <c r="D74" s="67"/>
      <c r="E74" s="68">
        <f t="shared" si="13"/>
        <v>0</v>
      </c>
      <c r="F74" s="68">
        <f t="shared" si="14"/>
        <v>0</v>
      </c>
      <c r="J74" s="39">
        <f t="shared" si="10"/>
        <v>0</v>
      </c>
      <c r="K74" s="42">
        <f t="shared" si="11"/>
        <v>0</v>
      </c>
      <c r="L74" s="42">
        <f t="shared" si="12"/>
        <v>0</v>
      </c>
    </row>
    <row r="75" spans="1:12" customFormat="1" ht="15.75" customHeight="1" x14ac:dyDescent="0.35">
      <c r="A75" s="65" t="s">
        <v>160</v>
      </c>
      <c r="B75" s="65" t="s">
        <v>302</v>
      </c>
      <c r="C75" s="66"/>
      <c r="D75" s="67"/>
      <c r="E75" s="68">
        <f t="shared" si="13"/>
        <v>0</v>
      </c>
      <c r="F75" s="68">
        <f t="shared" si="14"/>
        <v>0</v>
      </c>
      <c r="J75" s="39">
        <f t="shared" si="10"/>
        <v>0</v>
      </c>
      <c r="K75" s="42">
        <f t="shared" si="11"/>
        <v>0</v>
      </c>
      <c r="L75" s="42">
        <f t="shared" si="12"/>
        <v>0</v>
      </c>
    </row>
    <row r="76" spans="1:12" customFormat="1" ht="15.75" customHeight="1" x14ac:dyDescent="0.35">
      <c r="A76" s="65" t="s">
        <v>161</v>
      </c>
      <c r="B76" s="65" t="s">
        <v>303</v>
      </c>
      <c r="C76" s="66"/>
      <c r="D76" s="67"/>
      <c r="E76" s="68">
        <f t="shared" si="13"/>
        <v>0</v>
      </c>
      <c r="F76" s="68">
        <f t="shared" si="14"/>
        <v>0</v>
      </c>
      <c r="J76" s="39">
        <f t="shared" si="10"/>
        <v>0</v>
      </c>
      <c r="K76" s="42">
        <f t="shared" si="11"/>
        <v>0</v>
      </c>
      <c r="L76" s="42">
        <f t="shared" si="12"/>
        <v>0</v>
      </c>
    </row>
    <row r="77" spans="1:12" customFormat="1" ht="15.75" customHeight="1" x14ac:dyDescent="0.35">
      <c r="A77" s="65" t="s">
        <v>162</v>
      </c>
      <c r="B77" s="65" t="s">
        <v>304</v>
      </c>
      <c r="C77" s="66"/>
      <c r="D77" s="67"/>
      <c r="E77" s="68">
        <f t="shared" si="13"/>
        <v>0</v>
      </c>
      <c r="F77" s="68">
        <f t="shared" si="14"/>
        <v>0</v>
      </c>
      <c r="J77" s="39">
        <f t="shared" si="10"/>
        <v>0</v>
      </c>
      <c r="K77" s="42">
        <f t="shared" si="11"/>
        <v>0</v>
      </c>
      <c r="L77" s="42">
        <f t="shared" si="12"/>
        <v>0</v>
      </c>
    </row>
    <row r="78" spans="1:12" customFormat="1" ht="15.75" customHeight="1" x14ac:dyDescent="0.35">
      <c r="A78" s="65" t="s">
        <v>163</v>
      </c>
      <c r="B78" s="65" t="s">
        <v>305</v>
      </c>
      <c r="C78" s="66"/>
      <c r="D78" s="67"/>
      <c r="E78" s="68">
        <f t="shared" si="13"/>
        <v>0</v>
      </c>
      <c r="F78" s="68">
        <f t="shared" si="14"/>
        <v>0</v>
      </c>
      <c r="J78" s="39">
        <f t="shared" si="10"/>
        <v>0</v>
      </c>
      <c r="K78" s="42">
        <f t="shared" si="11"/>
        <v>0</v>
      </c>
      <c r="L78" s="42">
        <f t="shared" si="12"/>
        <v>0</v>
      </c>
    </row>
    <row r="79" spans="1:12" customFormat="1" ht="15.75" customHeight="1" x14ac:dyDescent="0.35">
      <c r="A79" s="65" t="s">
        <v>164</v>
      </c>
      <c r="B79" s="65" t="s">
        <v>306</v>
      </c>
      <c r="C79" s="66"/>
      <c r="D79" s="67"/>
      <c r="E79" s="68">
        <f t="shared" si="13"/>
        <v>0</v>
      </c>
      <c r="F79" s="68">
        <f t="shared" si="14"/>
        <v>0</v>
      </c>
      <c r="J79" s="39">
        <f t="shared" si="10"/>
        <v>0</v>
      </c>
      <c r="K79" s="42">
        <f t="shared" si="11"/>
        <v>0</v>
      </c>
      <c r="L79" s="42">
        <f t="shared" si="12"/>
        <v>0</v>
      </c>
    </row>
    <row r="80" spans="1:12" customFormat="1" ht="15.75" customHeight="1" x14ac:dyDescent="0.35">
      <c r="A80" s="65" t="s">
        <v>165</v>
      </c>
      <c r="B80" s="65" t="s">
        <v>307</v>
      </c>
      <c r="C80" s="66"/>
      <c r="D80" s="67"/>
      <c r="E80" s="68">
        <f t="shared" si="13"/>
        <v>0</v>
      </c>
      <c r="F80" s="68">
        <f t="shared" si="14"/>
        <v>0</v>
      </c>
      <c r="J80" s="39">
        <f t="shared" si="10"/>
        <v>0</v>
      </c>
      <c r="K80" s="42">
        <f t="shared" si="11"/>
        <v>0</v>
      </c>
      <c r="L80" s="42">
        <f t="shared" si="12"/>
        <v>0</v>
      </c>
    </row>
    <row r="81" spans="1:12" customFormat="1" ht="15.75" customHeight="1" x14ac:dyDescent="0.35">
      <c r="A81" s="65" t="s">
        <v>166</v>
      </c>
      <c r="B81" s="65" t="s">
        <v>308</v>
      </c>
      <c r="C81" s="66"/>
      <c r="D81" s="67"/>
      <c r="E81" s="68">
        <f t="shared" si="13"/>
        <v>0</v>
      </c>
      <c r="F81" s="68">
        <f t="shared" si="14"/>
        <v>0</v>
      </c>
      <c r="J81" s="39">
        <f t="shared" si="10"/>
        <v>0</v>
      </c>
      <c r="K81" s="42">
        <f t="shared" si="11"/>
        <v>0</v>
      </c>
      <c r="L81" s="42">
        <f t="shared" si="12"/>
        <v>0</v>
      </c>
    </row>
    <row r="82" spans="1:12" customFormat="1" ht="15.75" customHeight="1" x14ac:dyDescent="0.35">
      <c r="A82" s="65" t="s">
        <v>167</v>
      </c>
      <c r="B82" s="65" t="s">
        <v>309</v>
      </c>
      <c r="C82" s="66"/>
      <c r="D82" s="67"/>
      <c r="E82" s="68">
        <f t="shared" si="13"/>
        <v>0</v>
      </c>
      <c r="F82" s="68">
        <f t="shared" si="14"/>
        <v>0</v>
      </c>
      <c r="J82" s="39">
        <f t="shared" si="10"/>
        <v>0</v>
      </c>
      <c r="K82" s="42">
        <f t="shared" si="11"/>
        <v>0</v>
      </c>
      <c r="L82" s="42">
        <f t="shared" si="12"/>
        <v>0</v>
      </c>
    </row>
    <row r="83" spans="1:12" customFormat="1" ht="15.75" customHeight="1" x14ac:dyDescent="0.35">
      <c r="A83" s="65" t="s">
        <v>168</v>
      </c>
      <c r="B83" s="65" t="s">
        <v>310</v>
      </c>
      <c r="C83" s="66"/>
      <c r="D83" s="67"/>
      <c r="E83" s="68">
        <f t="shared" si="13"/>
        <v>0</v>
      </c>
      <c r="F83" s="68">
        <f t="shared" si="14"/>
        <v>0</v>
      </c>
      <c r="J83" s="39">
        <f t="shared" si="10"/>
        <v>0</v>
      </c>
      <c r="K83" s="42">
        <f t="shared" si="11"/>
        <v>0</v>
      </c>
      <c r="L83" s="42">
        <f t="shared" si="12"/>
        <v>0</v>
      </c>
    </row>
    <row r="84" spans="1:12" customFormat="1" ht="15.75" customHeight="1" x14ac:dyDescent="0.35">
      <c r="A84" s="65" t="s">
        <v>169</v>
      </c>
      <c r="B84" s="65" t="s">
        <v>311</v>
      </c>
      <c r="C84" s="66"/>
      <c r="D84" s="67"/>
      <c r="E84" s="68">
        <f t="shared" si="13"/>
        <v>0</v>
      </c>
      <c r="F84" s="68">
        <f t="shared" si="14"/>
        <v>0</v>
      </c>
      <c r="J84" s="39">
        <f t="shared" si="10"/>
        <v>0</v>
      </c>
      <c r="K84" s="42">
        <f t="shared" si="11"/>
        <v>0</v>
      </c>
      <c r="L84" s="42">
        <f t="shared" si="12"/>
        <v>0</v>
      </c>
    </row>
    <row r="85" spans="1:12" customFormat="1" ht="15.75" customHeight="1" x14ac:dyDescent="0.35">
      <c r="A85" s="65" t="s">
        <v>170</v>
      </c>
      <c r="B85" s="65" t="s">
        <v>312</v>
      </c>
      <c r="C85" s="66"/>
      <c r="D85" s="67"/>
      <c r="E85" s="68">
        <f t="shared" si="13"/>
        <v>0</v>
      </c>
      <c r="F85" s="68">
        <f t="shared" si="14"/>
        <v>0</v>
      </c>
      <c r="J85" s="39">
        <f t="shared" si="10"/>
        <v>0</v>
      </c>
      <c r="K85" s="42">
        <f t="shared" si="11"/>
        <v>0</v>
      </c>
      <c r="L85" s="42">
        <f t="shared" si="12"/>
        <v>0</v>
      </c>
    </row>
    <row r="86" spans="1:12" customFormat="1" ht="15.75" customHeight="1" x14ac:dyDescent="0.35">
      <c r="A86" s="65" t="s">
        <v>171</v>
      </c>
      <c r="B86" s="65" t="s">
        <v>313</v>
      </c>
      <c r="C86" s="66"/>
      <c r="D86" s="67"/>
      <c r="E86" s="68">
        <f t="shared" si="13"/>
        <v>0</v>
      </c>
      <c r="F86" s="68">
        <f t="shared" si="14"/>
        <v>0</v>
      </c>
      <c r="J86" s="39">
        <f t="shared" ref="J86:J146" si="15">+C86-I86</f>
        <v>0</v>
      </c>
      <c r="K86" s="42">
        <f t="shared" ref="K86:K146" si="16">J86*40%</f>
        <v>0</v>
      </c>
      <c r="L86" s="42">
        <f t="shared" ref="L86:L146" si="17">K86/30</f>
        <v>0</v>
      </c>
    </row>
    <row r="87" spans="1:12" customFormat="1" ht="15.75" customHeight="1" x14ac:dyDescent="0.35">
      <c r="A87" s="65" t="s">
        <v>172</v>
      </c>
      <c r="B87" s="65" t="s">
        <v>314</v>
      </c>
      <c r="C87" s="66"/>
      <c r="D87" s="67"/>
      <c r="E87" s="68">
        <f t="shared" si="13"/>
        <v>0</v>
      </c>
      <c r="F87" s="68">
        <f t="shared" si="14"/>
        <v>0</v>
      </c>
      <c r="J87" s="39">
        <f t="shared" si="15"/>
        <v>0</v>
      </c>
      <c r="K87" s="42">
        <f t="shared" si="16"/>
        <v>0</v>
      </c>
      <c r="L87" s="42">
        <f t="shared" si="17"/>
        <v>0</v>
      </c>
    </row>
    <row r="88" spans="1:12" customFormat="1" ht="15.75" customHeight="1" x14ac:dyDescent="0.35">
      <c r="A88" s="65" t="s">
        <v>173</v>
      </c>
      <c r="B88" s="65" t="s">
        <v>315</v>
      </c>
      <c r="C88" s="66"/>
      <c r="D88" s="67"/>
      <c r="E88" s="68">
        <f t="shared" si="13"/>
        <v>0</v>
      </c>
      <c r="F88" s="68">
        <f t="shared" si="14"/>
        <v>0</v>
      </c>
      <c r="J88" s="39">
        <f t="shared" si="15"/>
        <v>0</v>
      </c>
      <c r="K88" s="42">
        <f t="shared" si="16"/>
        <v>0</v>
      </c>
      <c r="L88" s="42">
        <f t="shared" si="17"/>
        <v>0</v>
      </c>
    </row>
    <row r="89" spans="1:12" customFormat="1" ht="15.75" customHeight="1" x14ac:dyDescent="0.35">
      <c r="A89" s="65" t="s">
        <v>174</v>
      </c>
      <c r="B89" s="65" t="s">
        <v>316</v>
      </c>
      <c r="C89" s="66"/>
      <c r="D89" s="67"/>
      <c r="E89" s="68">
        <f t="shared" si="13"/>
        <v>0</v>
      </c>
      <c r="F89" s="68">
        <f t="shared" si="14"/>
        <v>0</v>
      </c>
      <c r="J89" s="39">
        <f t="shared" si="15"/>
        <v>0</v>
      </c>
      <c r="K89" s="42">
        <f t="shared" si="16"/>
        <v>0</v>
      </c>
      <c r="L89" s="42">
        <f t="shared" si="17"/>
        <v>0</v>
      </c>
    </row>
    <row r="90" spans="1:12" customFormat="1" ht="15.75" customHeight="1" x14ac:dyDescent="0.35">
      <c r="A90" s="65" t="s">
        <v>175</v>
      </c>
      <c r="B90" s="65" t="s">
        <v>317</v>
      </c>
      <c r="C90" s="66"/>
      <c r="D90" s="67"/>
      <c r="E90" s="68">
        <f t="shared" si="13"/>
        <v>0</v>
      </c>
      <c r="F90" s="68">
        <f t="shared" si="14"/>
        <v>0</v>
      </c>
      <c r="J90" s="39">
        <f t="shared" si="15"/>
        <v>0</v>
      </c>
      <c r="K90" s="42">
        <f t="shared" si="16"/>
        <v>0</v>
      </c>
      <c r="L90" s="42">
        <f t="shared" si="17"/>
        <v>0</v>
      </c>
    </row>
    <row r="91" spans="1:12" customFormat="1" ht="15.75" customHeight="1" x14ac:dyDescent="0.35">
      <c r="A91" s="65" t="s">
        <v>176</v>
      </c>
      <c r="B91" s="65" t="s">
        <v>318</v>
      </c>
      <c r="C91" s="66"/>
      <c r="D91" s="67"/>
      <c r="E91" s="68">
        <f t="shared" si="13"/>
        <v>0</v>
      </c>
      <c r="F91" s="68">
        <f t="shared" si="14"/>
        <v>0</v>
      </c>
      <c r="J91" s="39">
        <f t="shared" si="15"/>
        <v>0</v>
      </c>
      <c r="K91" s="42">
        <f t="shared" si="16"/>
        <v>0</v>
      </c>
      <c r="L91" s="42">
        <f t="shared" si="17"/>
        <v>0</v>
      </c>
    </row>
    <row r="92" spans="1:12" customFormat="1" ht="15.75" customHeight="1" x14ac:dyDescent="0.35">
      <c r="A92" s="65" t="s">
        <v>177</v>
      </c>
      <c r="B92" s="65" t="s">
        <v>319</v>
      </c>
      <c r="C92" s="66"/>
      <c r="D92" s="67"/>
      <c r="E92" s="68">
        <f t="shared" si="13"/>
        <v>0</v>
      </c>
      <c r="F92" s="68">
        <f t="shared" si="14"/>
        <v>0</v>
      </c>
      <c r="J92" s="39">
        <f t="shared" si="15"/>
        <v>0</v>
      </c>
      <c r="K92" s="42">
        <f t="shared" si="16"/>
        <v>0</v>
      </c>
      <c r="L92" s="42">
        <f t="shared" si="17"/>
        <v>0</v>
      </c>
    </row>
    <row r="93" spans="1:12" customFormat="1" ht="15.75" customHeight="1" x14ac:dyDescent="0.35">
      <c r="A93" s="65" t="s">
        <v>178</v>
      </c>
      <c r="B93" s="65" t="s">
        <v>320</v>
      </c>
      <c r="C93" s="66"/>
      <c r="D93" s="67"/>
      <c r="E93" s="68">
        <f t="shared" si="13"/>
        <v>0</v>
      </c>
      <c r="F93" s="68">
        <f t="shared" si="14"/>
        <v>0</v>
      </c>
      <c r="J93" s="39">
        <f t="shared" si="15"/>
        <v>0</v>
      </c>
      <c r="K93" s="42">
        <f t="shared" si="16"/>
        <v>0</v>
      </c>
      <c r="L93" s="42">
        <f t="shared" si="17"/>
        <v>0</v>
      </c>
    </row>
    <row r="94" spans="1:12" customFormat="1" ht="15.75" customHeight="1" x14ac:dyDescent="0.35">
      <c r="A94" s="65" t="s">
        <v>179</v>
      </c>
      <c r="B94" s="65" t="s">
        <v>321</v>
      </c>
      <c r="C94" s="66"/>
      <c r="D94" s="67"/>
      <c r="E94" s="68">
        <f t="shared" si="13"/>
        <v>0</v>
      </c>
      <c r="F94" s="68">
        <f t="shared" si="14"/>
        <v>0</v>
      </c>
      <c r="J94" s="39">
        <f t="shared" si="15"/>
        <v>0</v>
      </c>
      <c r="K94" s="42">
        <f t="shared" si="16"/>
        <v>0</v>
      </c>
      <c r="L94" s="42">
        <f t="shared" si="17"/>
        <v>0</v>
      </c>
    </row>
    <row r="95" spans="1:12" customFormat="1" ht="15.75" customHeight="1" x14ac:dyDescent="0.35">
      <c r="A95" s="65" t="s">
        <v>180</v>
      </c>
      <c r="B95" s="65" t="s">
        <v>322</v>
      </c>
      <c r="C95" s="66"/>
      <c r="D95" s="67"/>
      <c r="E95" s="68">
        <f t="shared" si="13"/>
        <v>0</v>
      </c>
      <c r="F95" s="68">
        <f t="shared" si="14"/>
        <v>0</v>
      </c>
      <c r="J95" s="39">
        <f t="shared" si="15"/>
        <v>0</v>
      </c>
      <c r="K95" s="42">
        <f t="shared" si="16"/>
        <v>0</v>
      </c>
      <c r="L95" s="42">
        <f t="shared" si="17"/>
        <v>0</v>
      </c>
    </row>
    <row r="96" spans="1:12" customFormat="1" ht="15.75" customHeight="1" x14ac:dyDescent="0.35">
      <c r="A96" s="65" t="s">
        <v>181</v>
      </c>
      <c r="B96" s="65" t="s">
        <v>323</v>
      </c>
      <c r="C96" s="66"/>
      <c r="D96" s="67"/>
      <c r="E96" s="68">
        <f t="shared" si="13"/>
        <v>0</v>
      </c>
      <c r="F96" s="68">
        <f t="shared" si="14"/>
        <v>0</v>
      </c>
      <c r="J96" s="39">
        <f t="shared" si="15"/>
        <v>0</v>
      </c>
      <c r="K96" s="42">
        <f t="shared" si="16"/>
        <v>0</v>
      </c>
      <c r="L96" s="42">
        <f t="shared" si="17"/>
        <v>0</v>
      </c>
    </row>
    <row r="97" spans="1:12" customFormat="1" ht="15.75" customHeight="1" x14ac:dyDescent="0.35">
      <c r="A97" s="65" t="s">
        <v>182</v>
      </c>
      <c r="B97" s="65" t="s">
        <v>324</v>
      </c>
      <c r="C97" s="66"/>
      <c r="D97" s="67"/>
      <c r="E97" s="68">
        <f t="shared" si="13"/>
        <v>0</v>
      </c>
      <c r="F97" s="68">
        <f t="shared" si="14"/>
        <v>0</v>
      </c>
      <c r="J97" s="39">
        <f t="shared" si="15"/>
        <v>0</v>
      </c>
      <c r="K97" s="42">
        <f t="shared" si="16"/>
        <v>0</v>
      </c>
      <c r="L97" s="42">
        <f t="shared" si="17"/>
        <v>0</v>
      </c>
    </row>
    <row r="98" spans="1:12" customFormat="1" ht="15.75" customHeight="1" x14ac:dyDescent="0.35">
      <c r="A98" s="65" t="s">
        <v>183</v>
      </c>
      <c r="B98" s="65" t="s">
        <v>325</v>
      </c>
      <c r="C98" s="66"/>
      <c r="D98" s="67"/>
      <c r="E98" s="68">
        <f t="shared" si="13"/>
        <v>0</v>
      </c>
      <c r="F98" s="68">
        <f t="shared" si="14"/>
        <v>0</v>
      </c>
      <c r="J98" s="39">
        <f t="shared" si="15"/>
        <v>0</v>
      </c>
      <c r="K98" s="42">
        <f t="shared" si="16"/>
        <v>0</v>
      </c>
      <c r="L98" s="42">
        <f t="shared" si="17"/>
        <v>0</v>
      </c>
    </row>
    <row r="99" spans="1:12" customFormat="1" ht="15.75" customHeight="1" x14ac:dyDescent="0.35">
      <c r="A99" s="65" t="s">
        <v>184</v>
      </c>
      <c r="B99" s="65" t="s">
        <v>326</v>
      </c>
      <c r="C99" s="66"/>
      <c r="D99" s="67"/>
      <c r="E99" s="68">
        <f t="shared" si="13"/>
        <v>0</v>
      </c>
      <c r="F99" s="68">
        <f t="shared" si="14"/>
        <v>0</v>
      </c>
      <c r="J99" s="39">
        <f t="shared" si="15"/>
        <v>0</v>
      </c>
      <c r="K99" s="42">
        <f t="shared" si="16"/>
        <v>0</v>
      </c>
      <c r="L99" s="42">
        <f t="shared" si="17"/>
        <v>0</v>
      </c>
    </row>
    <row r="100" spans="1:12" customFormat="1" ht="15.75" customHeight="1" x14ac:dyDescent="0.35">
      <c r="A100" s="65" t="s">
        <v>185</v>
      </c>
      <c r="B100" s="65" t="s">
        <v>327</v>
      </c>
      <c r="C100" s="66"/>
      <c r="D100" s="67"/>
      <c r="E100" s="68">
        <f t="shared" si="13"/>
        <v>0</v>
      </c>
      <c r="F100" s="68">
        <f t="shared" si="14"/>
        <v>0</v>
      </c>
      <c r="J100" s="39">
        <f t="shared" si="15"/>
        <v>0</v>
      </c>
      <c r="K100" s="42">
        <f t="shared" si="16"/>
        <v>0</v>
      </c>
      <c r="L100" s="42">
        <f t="shared" si="17"/>
        <v>0</v>
      </c>
    </row>
    <row r="101" spans="1:12" customFormat="1" ht="15.75" customHeight="1" x14ac:dyDescent="0.35">
      <c r="A101" s="65" t="s">
        <v>186</v>
      </c>
      <c r="B101" s="65" t="s">
        <v>328</v>
      </c>
      <c r="C101" s="66"/>
      <c r="D101" s="67"/>
      <c r="E101" s="68">
        <f t="shared" si="13"/>
        <v>0</v>
      </c>
      <c r="F101" s="68">
        <f t="shared" si="14"/>
        <v>0</v>
      </c>
      <c r="J101" s="39">
        <f t="shared" si="15"/>
        <v>0</v>
      </c>
      <c r="K101" s="42">
        <f t="shared" si="16"/>
        <v>0</v>
      </c>
      <c r="L101" s="42">
        <f t="shared" si="17"/>
        <v>0</v>
      </c>
    </row>
    <row r="102" spans="1:12" customFormat="1" ht="15.75" customHeight="1" x14ac:dyDescent="0.35">
      <c r="A102" s="65" t="s">
        <v>187</v>
      </c>
      <c r="B102" s="65" t="s">
        <v>329</v>
      </c>
      <c r="C102" s="66"/>
      <c r="D102" s="67"/>
      <c r="E102" s="68">
        <f t="shared" si="13"/>
        <v>0</v>
      </c>
      <c r="F102" s="68">
        <f t="shared" si="14"/>
        <v>0</v>
      </c>
      <c r="J102" s="39">
        <f t="shared" si="15"/>
        <v>0</v>
      </c>
      <c r="K102" s="42">
        <f t="shared" si="16"/>
        <v>0</v>
      </c>
      <c r="L102" s="42">
        <f t="shared" si="17"/>
        <v>0</v>
      </c>
    </row>
    <row r="103" spans="1:12" customFormat="1" ht="15.75" customHeight="1" x14ac:dyDescent="0.35">
      <c r="A103" s="65" t="s">
        <v>188</v>
      </c>
      <c r="B103" s="65" t="s">
        <v>330</v>
      </c>
      <c r="C103" s="66"/>
      <c r="D103" s="67"/>
      <c r="E103" s="68">
        <f t="shared" si="13"/>
        <v>0</v>
      </c>
      <c r="F103" s="68">
        <f t="shared" si="14"/>
        <v>0</v>
      </c>
      <c r="J103" s="39">
        <f t="shared" si="15"/>
        <v>0</v>
      </c>
      <c r="K103" s="42">
        <f t="shared" si="16"/>
        <v>0</v>
      </c>
      <c r="L103" s="42">
        <f t="shared" si="17"/>
        <v>0</v>
      </c>
    </row>
    <row r="104" spans="1:12" customFormat="1" ht="15.75" customHeight="1" x14ac:dyDescent="0.35">
      <c r="A104" s="65" t="s">
        <v>189</v>
      </c>
      <c r="B104" s="65" t="s">
        <v>331</v>
      </c>
      <c r="C104" s="66"/>
      <c r="D104" s="67"/>
      <c r="E104" s="68">
        <f t="shared" si="13"/>
        <v>0</v>
      </c>
      <c r="F104" s="68">
        <f t="shared" si="14"/>
        <v>0</v>
      </c>
      <c r="J104" s="39">
        <f t="shared" si="15"/>
        <v>0</v>
      </c>
      <c r="K104" s="42">
        <f t="shared" si="16"/>
        <v>0</v>
      </c>
      <c r="L104" s="42">
        <f t="shared" si="17"/>
        <v>0</v>
      </c>
    </row>
    <row r="105" spans="1:12" customFormat="1" ht="15.75" customHeight="1" x14ac:dyDescent="0.35">
      <c r="A105" s="65" t="s">
        <v>190</v>
      </c>
      <c r="B105" s="65" t="s">
        <v>332</v>
      </c>
      <c r="C105" s="66"/>
      <c r="D105" s="67"/>
      <c r="E105" s="68">
        <f t="shared" si="13"/>
        <v>0</v>
      </c>
      <c r="F105" s="68">
        <f t="shared" si="14"/>
        <v>0</v>
      </c>
      <c r="J105" s="39">
        <f t="shared" si="15"/>
        <v>0</v>
      </c>
      <c r="K105" s="42">
        <f t="shared" si="16"/>
        <v>0</v>
      </c>
      <c r="L105" s="42">
        <f t="shared" si="17"/>
        <v>0</v>
      </c>
    </row>
    <row r="106" spans="1:12" customFormat="1" ht="15.75" customHeight="1" x14ac:dyDescent="0.35">
      <c r="A106" s="65" t="s">
        <v>191</v>
      </c>
      <c r="B106" s="65" t="s">
        <v>333</v>
      </c>
      <c r="C106" s="66"/>
      <c r="D106" s="67"/>
      <c r="E106" s="68">
        <f t="shared" si="13"/>
        <v>0</v>
      </c>
      <c r="F106" s="68">
        <f t="shared" si="14"/>
        <v>0</v>
      </c>
      <c r="J106" s="39">
        <f t="shared" si="15"/>
        <v>0</v>
      </c>
      <c r="K106" s="42">
        <f t="shared" si="16"/>
        <v>0</v>
      </c>
      <c r="L106" s="42">
        <f t="shared" si="17"/>
        <v>0</v>
      </c>
    </row>
    <row r="107" spans="1:12" customFormat="1" ht="15.75" customHeight="1" x14ac:dyDescent="0.35">
      <c r="A107" s="65" t="s">
        <v>192</v>
      </c>
      <c r="B107" s="65" t="s">
        <v>334</v>
      </c>
      <c r="C107" s="66"/>
      <c r="D107" s="67"/>
      <c r="E107" s="68">
        <f t="shared" si="13"/>
        <v>0</v>
      </c>
      <c r="F107" s="68">
        <f t="shared" si="14"/>
        <v>0</v>
      </c>
      <c r="J107" s="39">
        <f t="shared" si="15"/>
        <v>0</v>
      </c>
      <c r="K107" s="42">
        <f t="shared" si="16"/>
        <v>0</v>
      </c>
      <c r="L107" s="42">
        <f t="shared" si="17"/>
        <v>0</v>
      </c>
    </row>
    <row r="108" spans="1:12" customFormat="1" ht="15.75" customHeight="1" x14ac:dyDescent="0.35">
      <c r="A108" s="65" t="s">
        <v>193</v>
      </c>
      <c r="B108" s="65" t="s">
        <v>335</v>
      </c>
      <c r="C108" s="66"/>
      <c r="D108" s="67"/>
      <c r="E108" s="68">
        <f t="shared" si="13"/>
        <v>0</v>
      </c>
      <c r="F108" s="68">
        <f t="shared" si="14"/>
        <v>0</v>
      </c>
      <c r="J108" s="39">
        <f t="shared" si="15"/>
        <v>0</v>
      </c>
      <c r="K108" s="42">
        <f t="shared" si="16"/>
        <v>0</v>
      </c>
      <c r="L108" s="42">
        <f t="shared" si="17"/>
        <v>0</v>
      </c>
    </row>
    <row r="109" spans="1:12" customFormat="1" ht="15.75" customHeight="1" x14ac:dyDescent="0.35">
      <c r="A109" s="65" t="s">
        <v>194</v>
      </c>
      <c r="B109" s="65" t="s">
        <v>336</v>
      </c>
      <c r="C109" s="66"/>
      <c r="D109" s="67"/>
      <c r="E109" s="68">
        <f t="shared" si="13"/>
        <v>0</v>
      </c>
      <c r="F109" s="68">
        <f t="shared" si="14"/>
        <v>0</v>
      </c>
      <c r="J109" s="39">
        <f t="shared" si="15"/>
        <v>0</v>
      </c>
      <c r="K109" s="42">
        <f t="shared" si="16"/>
        <v>0</v>
      </c>
      <c r="L109" s="42">
        <f t="shared" si="17"/>
        <v>0</v>
      </c>
    </row>
    <row r="110" spans="1:12" customFormat="1" ht="15.75" customHeight="1" x14ac:dyDescent="0.35">
      <c r="A110" s="65" t="s">
        <v>195</v>
      </c>
      <c r="B110" s="65" t="s">
        <v>337</v>
      </c>
      <c r="C110" s="66"/>
      <c r="D110" s="67"/>
      <c r="E110" s="68">
        <f t="shared" si="13"/>
        <v>0</v>
      </c>
      <c r="F110" s="68">
        <f t="shared" si="14"/>
        <v>0</v>
      </c>
      <c r="J110" s="39">
        <f t="shared" si="15"/>
        <v>0</v>
      </c>
      <c r="K110" s="42">
        <f t="shared" si="16"/>
        <v>0</v>
      </c>
      <c r="L110" s="42">
        <f t="shared" si="17"/>
        <v>0</v>
      </c>
    </row>
    <row r="111" spans="1:12" customFormat="1" ht="15.75" customHeight="1" x14ac:dyDescent="0.35">
      <c r="A111" s="65" t="s">
        <v>196</v>
      </c>
      <c r="B111" s="65" t="s">
        <v>338</v>
      </c>
      <c r="C111" s="66"/>
      <c r="D111" s="67"/>
      <c r="E111" s="68">
        <f t="shared" si="13"/>
        <v>0</v>
      </c>
      <c r="F111" s="68">
        <f t="shared" si="14"/>
        <v>0</v>
      </c>
      <c r="J111" s="39">
        <f t="shared" si="15"/>
        <v>0</v>
      </c>
      <c r="K111" s="42">
        <f t="shared" si="16"/>
        <v>0</v>
      </c>
      <c r="L111" s="42">
        <f t="shared" si="17"/>
        <v>0</v>
      </c>
    </row>
    <row r="112" spans="1:12" customFormat="1" ht="15.75" customHeight="1" x14ac:dyDescent="0.35">
      <c r="A112" s="65" t="s">
        <v>197</v>
      </c>
      <c r="B112" s="65" t="s">
        <v>339</v>
      </c>
      <c r="C112" s="66"/>
      <c r="D112" s="67"/>
      <c r="E112" s="68">
        <f t="shared" si="13"/>
        <v>0</v>
      </c>
      <c r="F112" s="68">
        <f t="shared" si="14"/>
        <v>0</v>
      </c>
      <c r="J112" s="39">
        <f t="shared" si="15"/>
        <v>0</v>
      </c>
      <c r="K112" s="42">
        <f t="shared" si="16"/>
        <v>0</v>
      </c>
      <c r="L112" s="42">
        <f t="shared" si="17"/>
        <v>0</v>
      </c>
    </row>
    <row r="113" spans="1:12" customFormat="1" ht="15.75" customHeight="1" x14ac:dyDescent="0.35">
      <c r="A113" s="65" t="s">
        <v>198</v>
      </c>
      <c r="B113" s="65" t="s">
        <v>340</v>
      </c>
      <c r="C113" s="66"/>
      <c r="D113" s="67"/>
      <c r="E113" s="68">
        <f t="shared" si="13"/>
        <v>0</v>
      </c>
      <c r="F113" s="68">
        <f t="shared" si="14"/>
        <v>0</v>
      </c>
      <c r="J113" s="39">
        <f t="shared" si="15"/>
        <v>0</v>
      </c>
      <c r="K113" s="42">
        <f t="shared" si="16"/>
        <v>0</v>
      </c>
      <c r="L113" s="42">
        <f t="shared" si="17"/>
        <v>0</v>
      </c>
    </row>
    <row r="114" spans="1:12" customFormat="1" ht="15.75" customHeight="1" x14ac:dyDescent="0.35">
      <c r="A114" s="65" t="s">
        <v>199</v>
      </c>
      <c r="B114" s="65" t="s">
        <v>341</v>
      </c>
      <c r="C114" s="66"/>
      <c r="D114" s="67"/>
      <c r="E114" s="68">
        <f t="shared" ref="E114" si="18">D114*30</f>
        <v>0</v>
      </c>
      <c r="F114" s="68">
        <f t="shared" ref="F114" si="19">C114-E114</f>
        <v>0</v>
      </c>
      <c r="J114" s="39">
        <f t="shared" si="15"/>
        <v>0</v>
      </c>
      <c r="K114" s="42">
        <f t="shared" si="16"/>
        <v>0</v>
      </c>
      <c r="L114" s="42">
        <f t="shared" si="17"/>
        <v>0</v>
      </c>
    </row>
    <row r="115" spans="1:12" customFormat="1" ht="15.75" customHeight="1" x14ac:dyDescent="0.35">
      <c r="A115" s="65" t="s">
        <v>200</v>
      </c>
      <c r="B115" s="65" t="s">
        <v>342</v>
      </c>
      <c r="C115" s="66"/>
      <c r="D115" s="67"/>
      <c r="E115" s="68">
        <f t="shared" ref="E115:E146" si="20">D115*30</f>
        <v>0</v>
      </c>
      <c r="F115" s="68">
        <f t="shared" ref="F115:F146" si="21">C115-E115</f>
        <v>0</v>
      </c>
      <c r="J115" s="39">
        <f t="shared" si="15"/>
        <v>0</v>
      </c>
      <c r="K115" s="42">
        <f t="shared" si="16"/>
        <v>0</v>
      </c>
      <c r="L115" s="42">
        <f t="shared" si="17"/>
        <v>0</v>
      </c>
    </row>
    <row r="116" spans="1:12" customFormat="1" ht="15.75" customHeight="1" x14ac:dyDescent="0.35">
      <c r="A116" s="65" t="s">
        <v>201</v>
      </c>
      <c r="B116" s="65" t="s">
        <v>343</v>
      </c>
      <c r="C116" s="66"/>
      <c r="D116" s="67"/>
      <c r="E116" s="68">
        <f t="shared" si="20"/>
        <v>0</v>
      </c>
      <c r="F116" s="68">
        <f t="shared" si="21"/>
        <v>0</v>
      </c>
      <c r="J116" s="39">
        <f t="shared" si="15"/>
        <v>0</v>
      </c>
      <c r="K116" s="42">
        <f t="shared" si="16"/>
        <v>0</v>
      </c>
      <c r="L116" s="42">
        <f t="shared" si="17"/>
        <v>0</v>
      </c>
    </row>
    <row r="117" spans="1:12" customFormat="1" ht="15.75" customHeight="1" x14ac:dyDescent="0.35">
      <c r="A117" s="65" t="s">
        <v>202</v>
      </c>
      <c r="B117" s="65" t="s">
        <v>344</v>
      </c>
      <c r="C117" s="66"/>
      <c r="D117" s="67"/>
      <c r="E117" s="68">
        <f t="shared" si="20"/>
        <v>0</v>
      </c>
      <c r="F117" s="68">
        <f t="shared" si="21"/>
        <v>0</v>
      </c>
      <c r="J117" s="39">
        <f t="shared" si="15"/>
        <v>0</v>
      </c>
      <c r="K117" s="42">
        <f t="shared" si="16"/>
        <v>0</v>
      </c>
      <c r="L117" s="42">
        <f t="shared" si="17"/>
        <v>0</v>
      </c>
    </row>
    <row r="118" spans="1:12" customFormat="1" ht="15.75" customHeight="1" x14ac:dyDescent="0.35">
      <c r="A118" s="65" t="s">
        <v>203</v>
      </c>
      <c r="B118" s="65" t="s">
        <v>345</v>
      </c>
      <c r="C118" s="66"/>
      <c r="D118" s="67"/>
      <c r="E118" s="68">
        <f t="shared" si="20"/>
        <v>0</v>
      </c>
      <c r="F118" s="68">
        <f t="shared" si="21"/>
        <v>0</v>
      </c>
      <c r="J118" s="39">
        <f t="shared" si="15"/>
        <v>0</v>
      </c>
      <c r="K118" s="42">
        <f t="shared" si="16"/>
        <v>0</v>
      </c>
      <c r="L118" s="42">
        <f t="shared" si="17"/>
        <v>0</v>
      </c>
    </row>
    <row r="119" spans="1:12" customFormat="1" ht="15.75" customHeight="1" x14ac:dyDescent="0.35">
      <c r="A119" s="65" t="s">
        <v>204</v>
      </c>
      <c r="B119" s="65" t="s">
        <v>346</v>
      </c>
      <c r="C119" s="66"/>
      <c r="D119" s="67"/>
      <c r="E119" s="68">
        <f t="shared" si="20"/>
        <v>0</v>
      </c>
      <c r="F119" s="68">
        <f t="shared" si="21"/>
        <v>0</v>
      </c>
      <c r="J119" s="39">
        <f t="shared" si="15"/>
        <v>0</v>
      </c>
      <c r="K119" s="42">
        <f t="shared" si="16"/>
        <v>0</v>
      </c>
      <c r="L119" s="42">
        <f t="shared" si="17"/>
        <v>0</v>
      </c>
    </row>
    <row r="120" spans="1:12" customFormat="1" ht="15.75" customHeight="1" x14ac:dyDescent="0.35">
      <c r="A120" s="65" t="s">
        <v>205</v>
      </c>
      <c r="B120" s="65" t="s">
        <v>347</v>
      </c>
      <c r="C120" s="66"/>
      <c r="D120" s="67"/>
      <c r="E120" s="68">
        <f t="shared" si="20"/>
        <v>0</v>
      </c>
      <c r="F120" s="68">
        <f t="shared" si="21"/>
        <v>0</v>
      </c>
      <c r="J120" s="39">
        <f t="shared" si="15"/>
        <v>0</v>
      </c>
      <c r="K120" s="42">
        <f t="shared" si="16"/>
        <v>0</v>
      </c>
      <c r="L120" s="42">
        <f t="shared" si="17"/>
        <v>0</v>
      </c>
    </row>
    <row r="121" spans="1:12" customFormat="1" ht="15.75" customHeight="1" x14ac:dyDescent="0.35">
      <c r="A121" s="65" t="s">
        <v>206</v>
      </c>
      <c r="B121" s="65" t="s">
        <v>348</v>
      </c>
      <c r="C121" s="66"/>
      <c r="D121" s="67"/>
      <c r="E121" s="68">
        <f t="shared" si="20"/>
        <v>0</v>
      </c>
      <c r="F121" s="68">
        <f t="shared" si="21"/>
        <v>0</v>
      </c>
      <c r="J121" s="39">
        <f t="shared" si="15"/>
        <v>0</v>
      </c>
      <c r="K121" s="42">
        <f t="shared" si="16"/>
        <v>0</v>
      </c>
      <c r="L121" s="42">
        <f t="shared" si="17"/>
        <v>0</v>
      </c>
    </row>
    <row r="122" spans="1:12" customFormat="1" ht="15.75" customHeight="1" x14ac:dyDescent="0.35">
      <c r="A122" s="65" t="s">
        <v>207</v>
      </c>
      <c r="B122" s="65" t="s">
        <v>349</v>
      </c>
      <c r="C122" s="66"/>
      <c r="D122" s="67"/>
      <c r="E122" s="68">
        <f t="shared" si="20"/>
        <v>0</v>
      </c>
      <c r="F122" s="68">
        <f t="shared" si="21"/>
        <v>0</v>
      </c>
      <c r="J122" s="39">
        <f t="shared" si="15"/>
        <v>0</v>
      </c>
      <c r="K122" s="42">
        <f t="shared" si="16"/>
        <v>0</v>
      </c>
      <c r="L122" s="42">
        <f t="shared" si="17"/>
        <v>0</v>
      </c>
    </row>
    <row r="123" spans="1:12" customFormat="1" ht="15.75" customHeight="1" x14ac:dyDescent="0.35">
      <c r="A123" s="65" t="s">
        <v>208</v>
      </c>
      <c r="B123" s="65" t="s">
        <v>350</v>
      </c>
      <c r="C123" s="66"/>
      <c r="D123" s="67"/>
      <c r="E123" s="68">
        <f t="shared" si="20"/>
        <v>0</v>
      </c>
      <c r="F123" s="68">
        <f t="shared" si="21"/>
        <v>0</v>
      </c>
      <c r="J123" s="39">
        <f t="shared" si="15"/>
        <v>0</v>
      </c>
      <c r="K123" s="42">
        <f t="shared" si="16"/>
        <v>0</v>
      </c>
      <c r="L123" s="42">
        <f t="shared" si="17"/>
        <v>0</v>
      </c>
    </row>
    <row r="124" spans="1:12" customFormat="1" ht="15.75" customHeight="1" x14ac:dyDescent="0.35">
      <c r="A124" s="65" t="s">
        <v>209</v>
      </c>
      <c r="B124" s="65" t="s">
        <v>351</v>
      </c>
      <c r="C124" s="66"/>
      <c r="D124" s="67"/>
      <c r="E124" s="68">
        <f t="shared" si="20"/>
        <v>0</v>
      </c>
      <c r="F124" s="68">
        <f t="shared" si="21"/>
        <v>0</v>
      </c>
      <c r="J124" s="39">
        <f t="shared" si="15"/>
        <v>0</v>
      </c>
      <c r="K124" s="42">
        <f t="shared" si="16"/>
        <v>0</v>
      </c>
      <c r="L124" s="42">
        <f t="shared" si="17"/>
        <v>0</v>
      </c>
    </row>
    <row r="125" spans="1:12" customFormat="1" ht="15.75" customHeight="1" x14ac:dyDescent="0.35">
      <c r="A125" s="65" t="s">
        <v>210</v>
      </c>
      <c r="B125" s="65" t="s">
        <v>352</v>
      </c>
      <c r="C125" s="66"/>
      <c r="D125" s="67"/>
      <c r="E125" s="68">
        <f t="shared" si="20"/>
        <v>0</v>
      </c>
      <c r="F125" s="68">
        <f t="shared" si="21"/>
        <v>0</v>
      </c>
      <c r="J125" s="39">
        <f t="shared" si="15"/>
        <v>0</v>
      </c>
      <c r="K125" s="42">
        <f t="shared" si="16"/>
        <v>0</v>
      </c>
      <c r="L125" s="42">
        <f t="shared" si="17"/>
        <v>0</v>
      </c>
    </row>
    <row r="126" spans="1:12" customFormat="1" ht="15.75" customHeight="1" x14ac:dyDescent="0.35">
      <c r="A126" s="65" t="s">
        <v>211</v>
      </c>
      <c r="B126" s="65" t="s">
        <v>353</v>
      </c>
      <c r="C126" s="66"/>
      <c r="D126" s="67"/>
      <c r="E126" s="68">
        <f t="shared" si="20"/>
        <v>0</v>
      </c>
      <c r="F126" s="68">
        <f t="shared" si="21"/>
        <v>0</v>
      </c>
      <c r="J126" s="39">
        <f t="shared" si="15"/>
        <v>0</v>
      </c>
      <c r="K126" s="42">
        <f t="shared" si="16"/>
        <v>0</v>
      </c>
      <c r="L126" s="42">
        <f t="shared" si="17"/>
        <v>0</v>
      </c>
    </row>
    <row r="127" spans="1:12" customFormat="1" ht="15.75" customHeight="1" x14ac:dyDescent="0.35">
      <c r="A127" s="65" t="s">
        <v>212</v>
      </c>
      <c r="B127" s="65" t="s">
        <v>354</v>
      </c>
      <c r="C127" s="66"/>
      <c r="D127" s="67"/>
      <c r="E127" s="68">
        <f t="shared" si="20"/>
        <v>0</v>
      </c>
      <c r="F127" s="68">
        <f t="shared" si="21"/>
        <v>0</v>
      </c>
      <c r="J127" s="39">
        <f t="shared" si="15"/>
        <v>0</v>
      </c>
      <c r="K127" s="42">
        <f t="shared" si="16"/>
        <v>0</v>
      </c>
      <c r="L127" s="42">
        <f t="shared" si="17"/>
        <v>0</v>
      </c>
    </row>
    <row r="128" spans="1:12" customFormat="1" ht="15.75" customHeight="1" x14ac:dyDescent="0.35">
      <c r="A128" s="65" t="s">
        <v>213</v>
      </c>
      <c r="B128" s="65" t="s">
        <v>355</v>
      </c>
      <c r="C128" s="66"/>
      <c r="D128" s="67"/>
      <c r="E128" s="68">
        <f t="shared" si="20"/>
        <v>0</v>
      </c>
      <c r="F128" s="68">
        <f t="shared" si="21"/>
        <v>0</v>
      </c>
      <c r="J128" s="39">
        <f t="shared" si="15"/>
        <v>0</v>
      </c>
      <c r="K128" s="42">
        <f t="shared" si="16"/>
        <v>0</v>
      </c>
      <c r="L128" s="42">
        <f t="shared" si="17"/>
        <v>0</v>
      </c>
    </row>
    <row r="129" spans="1:12" customFormat="1" ht="15.75" customHeight="1" x14ac:dyDescent="0.35">
      <c r="A129" s="65" t="s">
        <v>214</v>
      </c>
      <c r="B129" s="65" t="s">
        <v>356</v>
      </c>
      <c r="C129" s="66"/>
      <c r="D129" s="67"/>
      <c r="E129" s="68">
        <f t="shared" si="20"/>
        <v>0</v>
      </c>
      <c r="F129" s="68">
        <f t="shared" si="21"/>
        <v>0</v>
      </c>
      <c r="J129" s="39">
        <f t="shared" si="15"/>
        <v>0</v>
      </c>
      <c r="K129" s="42">
        <f t="shared" si="16"/>
        <v>0</v>
      </c>
      <c r="L129" s="42">
        <f t="shared" si="17"/>
        <v>0</v>
      </c>
    </row>
    <row r="130" spans="1:12" customFormat="1" ht="15.75" customHeight="1" x14ac:dyDescent="0.35">
      <c r="A130" s="65" t="s">
        <v>215</v>
      </c>
      <c r="B130" s="65" t="s">
        <v>357</v>
      </c>
      <c r="C130" s="66"/>
      <c r="D130" s="67"/>
      <c r="E130" s="68">
        <f t="shared" si="20"/>
        <v>0</v>
      </c>
      <c r="F130" s="68">
        <f t="shared" si="21"/>
        <v>0</v>
      </c>
      <c r="J130" s="39">
        <f t="shared" si="15"/>
        <v>0</v>
      </c>
      <c r="K130" s="42">
        <f t="shared" si="16"/>
        <v>0</v>
      </c>
      <c r="L130" s="42">
        <f t="shared" si="17"/>
        <v>0</v>
      </c>
    </row>
    <row r="131" spans="1:12" customFormat="1" ht="15.75" customHeight="1" x14ac:dyDescent="0.35">
      <c r="A131" s="65" t="s">
        <v>216</v>
      </c>
      <c r="B131" s="65" t="s">
        <v>358</v>
      </c>
      <c r="C131" s="66"/>
      <c r="D131" s="67"/>
      <c r="E131" s="68">
        <f t="shared" si="20"/>
        <v>0</v>
      </c>
      <c r="F131" s="68">
        <f t="shared" si="21"/>
        <v>0</v>
      </c>
      <c r="J131" s="39">
        <f t="shared" si="15"/>
        <v>0</v>
      </c>
      <c r="K131" s="42">
        <f t="shared" si="16"/>
        <v>0</v>
      </c>
      <c r="L131" s="42">
        <f t="shared" si="17"/>
        <v>0</v>
      </c>
    </row>
    <row r="132" spans="1:12" customFormat="1" ht="15.75" customHeight="1" x14ac:dyDescent="0.35">
      <c r="A132" s="65" t="s">
        <v>217</v>
      </c>
      <c r="B132" s="65" t="s">
        <v>359</v>
      </c>
      <c r="C132" s="66"/>
      <c r="D132" s="67"/>
      <c r="E132" s="68">
        <f t="shared" si="20"/>
        <v>0</v>
      </c>
      <c r="F132" s="68">
        <f t="shared" si="21"/>
        <v>0</v>
      </c>
      <c r="J132" s="39">
        <f t="shared" si="15"/>
        <v>0</v>
      </c>
      <c r="K132" s="42">
        <f t="shared" si="16"/>
        <v>0</v>
      </c>
      <c r="L132" s="42">
        <f t="shared" si="17"/>
        <v>0</v>
      </c>
    </row>
    <row r="133" spans="1:12" customFormat="1" ht="15.75" customHeight="1" x14ac:dyDescent="0.35">
      <c r="A133" s="65" t="s">
        <v>218</v>
      </c>
      <c r="B133" s="65" t="s">
        <v>360</v>
      </c>
      <c r="C133" s="66"/>
      <c r="D133" s="67"/>
      <c r="E133" s="68">
        <f t="shared" si="20"/>
        <v>0</v>
      </c>
      <c r="F133" s="68">
        <f t="shared" si="21"/>
        <v>0</v>
      </c>
      <c r="J133" s="39">
        <f t="shared" si="15"/>
        <v>0</v>
      </c>
      <c r="K133" s="42">
        <f t="shared" si="16"/>
        <v>0</v>
      </c>
      <c r="L133" s="42">
        <f t="shared" si="17"/>
        <v>0</v>
      </c>
    </row>
    <row r="134" spans="1:12" customFormat="1" ht="15.75" customHeight="1" x14ac:dyDescent="0.35">
      <c r="A134" s="65" t="s">
        <v>219</v>
      </c>
      <c r="B134" s="65" t="s">
        <v>361</v>
      </c>
      <c r="C134" s="66"/>
      <c r="D134" s="67"/>
      <c r="E134" s="68">
        <f t="shared" si="20"/>
        <v>0</v>
      </c>
      <c r="F134" s="68">
        <f t="shared" si="21"/>
        <v>0</v>
      </c>
      <c r="J134" s="39">
        <f t="shared" si="15"/>
        <v>0</v>
      </c>
      <c r="K134" s="42">
        <f t="shared" si="16"/>
        <v>0</v>
      </c>
      <c r="L134" s="42">
        <f t="shared" si="17"/>
        <v>0</v>
      </c>
    </row>
    <row r="135" spans="1:12" customFormat="1" ht="15.75" customHeight="1" x14ac:dyDescent="0.35">
      <c r="A135" s="65" t="s">
        <v>220</v>
      </c>
      <c r="B135" s="65" t="s">
        <v>362</v>
      </c>
      <c r="C135" s="66"/>
      <c r="D135" s="67"/>
      <c r="E135" s="68">
        <f t="shared" si="20"/>
        <v>0</v>
      </c>
      <c r="F135" s="68">
        <f t="shared" si="21"/>
        <v>0</v>
      </c>
      <c r="J135" s="39">
        <f t="shared" si="15"/>
        <v>0</v>
      </c>
      <c r="K135" s="42">
        <f t="shared" si="16"/>
        <v>0</v>
      </c>
      <c r="L135" s="42">
        <f t="shared" si="17"/>
        <v>0</v>
      </c>
    </row>
    <row r="136" spans="1:12" customFormat="1" ht="15.75" customHeight="1" x14ac:dyDescent="0.35">
      <c r="A136" s="65" t="s">
        <v>221</v>
      </c>
      <c r="B136" s="65" t="s">
        <v>363</v>
      </c>
      <c r="C136" s="66"/>
      <c r="D136" s="67"/>
      <c r="E136" s="68">
        <f t="shared" si="20"/>
        <v>0</v>
      </c>
      <c r="F136" s="68">
        <f t="shared" si="21"/>
        <v>0</v>
      </c>
      <c r="J136" s="39">
        <f t="shared" si="15"/>
        <v>0</v>
      </c>
      <c r="K136" s="42">
        <f t="shared" si="16"/>
        <v>0</v>
      </c>
      <c r="L136" s="42">
        <f t="shared" si="17"/>
        <v>0</v>
      </c>
    </row>
    <row r="137" spans="1:12" customFormat="1" ht="15.75" customHeight="1" x14ac:dyDescent="0.35">
      <c r="A137" s="65" t="s">
        <v>222</v>
      </c>
      <c r="B137" s="65" t="s">
        <v>364</v>
      </c>
      <c r="C137" s="66"/>
      <c r="D137" s="67"/>
      <c r="E137" s="68">
        <f t="shared" si="20"/>
        <v>0</v>
      </c>
      <c r="F137" s="68">
        <f t="shared" si="21"/>
        <v>0</v>
      </c>
      <c r="J137" s="39">
        <f t="shared" si="15"/>
        <v>0</v>
      </c>
      <c r="K137" s="42">
        <f t="shared" si="16"/>
        <v>0</v>
      </c>
      <c r="L137" s="42">
        <f t="shared" si="17"/>
        <v>0</v>
      </c>
    </row>
    <row r="138" spans="1:12" customFormat="1" ht="15.75" customHeight="1" x14ac:dyDescent="0.35">
      <c r="A138" s="65" t="s">
        <v>223</v>
      </c>
      <c r="B138" s="65" t="s">
        <v>365</v>
      </c>
      <c r="C138" s="66"/>
      <c r="D138" s="67"/>
      <c r="E138" s="68">
        <f t="shared" si="20"/>
        <v>0</v>
      </c>
      <c r="F138" s="68">
        <f t="shared" si="21"/>
        <v>0</v>
      </c>
      <c r="J138" s="39">
        <f t="shared" si="15"/>
        <v>0</v>
      </c>
      <c r="K138" s="42">
        <f t="shared" si="16"/>
        <v>0</v>
      </c>
      <c r="L138" s="42">
        <f t="shared" si="17"/>
        <v>0</v>
      </c>
    </row>
    <row r="139" spans="1:12" customFormat="1" ht="15.75" customHeight="1" x14ac:dyDescent="0.35">
      <c r="A139" s="65" t="s">
        <v>224</v>
      </c>
      <c r="B139" s="65" t="s">
        <v>366</v>
      </c>
      <c r="C139" s="66"/>
      <c r="D139" s="67"/>
      <c r="E139" s="68">
        <f t="shared" si="20"/>
        <v>0</v>
      </c>
      <c r="F139" s="68">
        <f t="shared" si="21"/>
        <v>0</v>
      </c>
      <c r="J139" s="39">
        <f t="shared" si="15"/>
        <v>0</v>
      </c>
      <c r="K139" s="42">
        <f t="shared" si="16"/>
        <v>0</v>
      </c>
      <c r="L139" s="42">
        <f t="shared" si="17"/>
        <v>0</v>
      </c>
    </row>
    <row r="140" spans="1:12" customFormat="1" ht="15.75" customHeight="1" x14ac:dyDescent="0.35">
      <c r="A140" s="65" t="s">
        <v>225</v>
      </c>
      <c r="B140" s="65" t="s">
        <v>367</v>
      </c>
      <c r="C140" s="66"/>
      <c r="D140" s="67"/>
      <c r="E140" s="68">
        <f t="shared" si="20"/>
        <v>0</v>
      </c>
      <c r="F140" s="68">
        <f t="shared" si="21"/>
        <v>0</v>
      </c>
      <c r="J140" s="39">
        <f t="shared" si="15"/>
        <v>0</v>
      </c>
      <c r="K140" s="42">
        <f t="shared" si="16"/>
        <v>0</v>
      </c>
      <c r="L140" s="42">
        <f t="shared" si="17"/>
        <v>0</v>
      </c>
    </row>
    <row r="141" spans="1:12" customFormat="1" ht="15.75" customHeight="1" x14ac:dyDescent="0.35">
      <c r="A141" s="65" t="s">
        <v>226</v>
      </c>
      <c r="B141" s="65" t="s">
        <v>368</v>
      </c>
      <c r="C141" s="66"/>
      <c r="D141" s="67"/>
      <c r="E141" s="68">
        <f t="shared" si="20"/>
        <v>0</v>
      </c>
      <c r="F141" s="68">
        <f t="shared" si="21"/>
        <v>0</v>
      </c>
      <c r="J141" s="39">
        <f t="shared" si="15"/>
        <v>0</v>
      </c>
      <c r="K141" s="42">
        <f t="shared" si="16"/>
        <v>0</v>
      </c>
      <c r="L141" s="42">
        <f t="shared" si="17"/>
        <v>0</v>
      </c>
    </row>
    <row r="142" spans="1:12" customFormat="1" ht="15.75" customHeight="1" x14ac:dyDescent="0.35">
      <c r="A142" s="65" t="s">
        <v>227</v>
      </c>
      <c r="B142" s="65" t="s">
        <v>369</v>
      </c>
      <c r="C142" s="66"/>
      <c r="D142" s="67"/>
      <c r="E142" s="68">
        <f t="shared" si="20"/>
        <v>0</v>
      </c>
      <c r="F142" s="68">
        <f t="shared" si="21"/>
        <v>0</v>
      </c>
      <c r="J142" s="39">
        <f t="shared" si="15"/>
        <v>0</v>
      </c>
      <c r="K142" s="42">
        <f t="shared" si="16"/>
        <v>0</v>
      </c>
      <c r="L142" s="42">
        <f t="shared" si="17"/>
        <v>0</v>
      </c>
    </row>
    <row r="143" spans="1:12" customFormat="1" ht="15.75" customHeight="1" x14ac:dyDescent="0.35">
      <c r="A143" s="65" t="s">
        <v>228</v>
      </c>
      <c r="B143" s="65" t="s">
        <v>370</v>
      </c>
      <c r="C143" s="66"/>
      <c r="D143" s="67"/>
      <c r="E143" s="68">
        <f t="shared" si="20"/>
        <v>0</v>
      </c>
      <c r="F143" s="68">
        <f t="shared" si="21"/>
        <v>0</v>
      </c>
      <c r="J143" s="39">
        <f t="shared" si="15"/>
        <v>0</v>
      </c>
      <c r="K143" s="42">
        <f t="shared" si="16"/>
        <v>0</v>
      </c>
      <c r="L143" s="42">
        <f t="shared" si="17"/>
        <v>0</v>
      </c>
    </row>
    <row r="144" spans="1:12" customFormat="1" ht="15.75" customHeight="1" x14ac:dyDescent="0.35">
      <c r="A144" s="65" t="s">
        <v>229</v>
      </c>
      <c r="B144" s="65" t="s">
        <v>371</v>
      </c>
      <c r="C144" s="66"/>
      <c r="D144" s="67"/>
      <c r="E144" s="68">
        <f t="shared" si="20"/>
        <v>0</v>
      </c>
      <c r="F144" s="68">
        <f t="shared" si="21"/>
        <v>0</v>
      </c>
      <c r="J144" s="39">
        <f t="shared" si="15"/>
        <v>0</v>
      </c>
      <c r="K144" s="42">
        <f t="shared" si="16"/>
        <v>0</v>
      </c>
      <c r="L144" s="42">
        <f t="shared" si="17"/>
        <v>0</v>
      </c>
    </row>
    <row r="145" spans="1:12" customFormat="1" ht="15.75" customHeight="1" x14ac:dyDescent="0.35">
      <c r="A145" s="65" t="s">
        <v>230</v>
      </c>
      <c r="B145" s="65" t="s">
        <v>372</v>
      </c>
      <c r="C145" s="66"/>
      <c r="D145" s="67"/>
      <c r="E145" s="68">
        <f t="shared" si="20"/>
        <v>0</v>
      </c>
      <c r="F145" s="68">
        <f t="shared" si="21"/>
        <v>0</v>
      </c>
      <c r="J145" s="39">
        <f t="shared" si="15"/>
        <v>0</v>
      </c>
      <c r="K145" s="42">
        <f t="shared" si="16"/>
        <v>0</v>
      </c>
      <c r="L145" s="42">
        <f t="shared" si="17"/>
        <v>0</v>
      </c>
    </row>
    <row r="146" spans="1:12" customFormat="1" ht="15.75" customHeight="1" x14ac:dyDescent="0.35">
      <c r="A146" s="65" t="s">
        <v>231</v>
      </c>
      <c r="B146" s="65" t="s">
        <v>373</v>
      </c>
      <c r="C146" s="66"/>
      <c r="D146" s="67"/>
      <c r="E146" s="68">
        <f t="shared" si="20"/>
        <v>0</v>
      </c>
      <c r="F146" s="68">
        <f t="shared" si="21"/>
        <v>0</v>
      </c>
      <c r="J146" s="39">
        <f t="shared" si="15"/>
        <v>0</v>
      </c>
      <c r="K146" s="42">
        <f t="shared" si="16"/>
        <v>0</v>
      </c>
      <c r="L146" s="42">
        <f t="shared" si="17"/>
        <v>0</v>
      </c>
    </row>
    <row r="147" spans="1:12" customFormat="1" ht="15.75" customHeight="1" x14ac:dyDescent="0.35">
      <c r="A147" s="59"/>
      <c r="B147" s="59"/>
      <c r="C147" s="62"/>
      <c r="D147" s="63"/>
      <c r="E147" s="64"/>
      <c r="F147" s="64"/>
      <c r="J147" s="39"/>
      <c r="K147" s="42"/>
      <c r="L147" s="42"/>
    </row>
    <row r="148" spans="1:12" customFormat="1" ht="15.5" customHeight="1" x14ac:dyDescent="0.35">
      <c r="A148" s="59"/>
      <c r="B148" s="59"/>
      <c r="C148" s="62"/>
      <c r="D148" s="63"/>
      <c r="E148" s="64"/>
      <c r="F148" s="64"/>
      <c r="J148" s="39"/>
      <c r="K148" s="42"/>
      <c r="L148" s="42"/>
    </row>
    <row r="149" spans="1:12" ht="15" thickBot="1" x14ac:dyDescent="0.4">
      <c r="A149" s="35"/>
      <c r="B149" s="36"/>
      <c r="C149" s="37"/>
      <c r="D149" s="59"/>
    </row>
    <row r="150" spans="1:12" s="41" customFormat="1" ht="17" customHeight="1" thickBot="1" x14ac:dyDescent="0.3">
      <c r="A150" s="8"/>
      <c r="B150" s="85" t="s">
        <v>6</v>
      </c>
      <c r="C150" s="83">
        <f>SUM(C5:C146)</f>
        <v>0</v>
      </c>
      <c r="D150" s="83">
        <f t="shared" ref="D150:F150" si="22">SUM(D5:D146)</f>
        <v>0</v>
      </c>
      <c r="E150" s="83">
        <f t="shared" si="22"/>
        <v>0</v>
      </c>
      <c r="F150" s="84">
        <f t="shared" si="22"/>
        <v>0</v>
      </c>
      <c r="G150" s="40"/>
      <c r="H150" s="40"/>
      <c r="J150" s="40"/>
    </row>
    <row r="151" spans="1:12" s="41" customFormat="1" ht="12.75" customHeight="1" x14ac:dyDescent="0.25">
      <c r="A151" s="8"/>
      <c r="B151" s="13"/>
      <c r="C151" s="43"/>
      <c r="D151" s="43"/>
      <c r="E151" s="55"/>
      <c r="F151" s="55"/>
      <c r="G151" s="40"/>
      <c r="H151" s="40"/>
      <c r="J151" s="40"/>
    </row>
    <row r="152" spans="1:12" s="41" customFormat="1" ht="12.75" customHeight="1" x14ac:dyDescent="0.25">
      <c r="A152" s="8"/>
      <c r="B152" s="13"/>
      <c r="C152" s="14"/>
      <c r="D152" s="60"/>
      <c r="E152" s="14"/>
      <c r="F152" s="14"/>
      <c r="G152" s="40"/>
      <c r="H152" s="40"/>
      <c r="J152" s="40"/>
    </row>
    <row r="153" spans="1:12" ht="15" thickBot="1" x14ac:dyDescent="0.4">
      <c r="A153" s="35"/>
      <c r="B153" s="36"/>
      <c r="C153" s="37"/>
      <c r="D153" s="59"/>
    </row>
    <row r="154" spans="1:12" ht="26.5" customHeight="1" thickBot="1" x14ac:dyDescent="0.4">
      <c r="A154" s="52" t="s">
        <v>84</v>
      </c>
      <c r="B154" s="53" t="s">
        <v>85</v>
      </c>
      <c r="C154" s="54" t="s">
        <v>74</v>
      </c>
      <c r="D154" s="58"/>
    </row>
    <row r="155" spans="1:12" ht="20.5" customHeight="1" x14ac:dyDescent="0.35">
      <c r="A155" s="50" t="s">
        <v>5</v>
      </c>
      <c r="B155" s="51">
        <f>F150</f>
        <v>0</v>
      </c>
      <c r="C155" s="51">
        <f>B155</f>
        <v>0</v>
      </c>
      <c r="D155" s="58"/>
    </row>
    <row r="156" spans="1:12" ht="20.5" customHeight="1" x14ac:dyDescent="0.35">
      <c r="A156" s="46" t="s">
        <v>87</v>
      </c>
      <c r="B156" s="56">
        <v>0.06</v>
      </c>
      <c r="C156" s="45">
        <f>C155*B156</f>
        <v>0</v>
      </c>
      <c r="D156" s="58"/>
    </row>
    <row r="157" spans="1:12" ht="20.5" customHeight="1" x14ac:dyDescent="0.35">
      <c r="A157" s="44" t="s">
        <v>79</v>
      </c>
      <c r="B157" s="47"/>
      <c r="C157" s="45">
        <f>C155+C156</f>
        <v>0</v>
      </c>
      <c r="D157" s="58"/>
    </row>
    <row r="158" spans="1:12" ht="20.5" customHeight="1" x14ac:dyDescent="0.35">
      <c r="A158" s="44" t="s">
        <v>89</v>
      </c>
      <c r="B158" s="56">
        <v>0.16</v>
      </c>
      <c r="C158" s="45">
        <f>C157*0.16</f>
        <v>0</v>
      </c>
      <c r="D158" s="58"/>
    </row>
    <row r="159" spans="1:12" ht="28" customHeight="1" x14ac:dyDescent="0.35">
      <c r="A159" s="57" t="s">
        <v>88</v>
      </c>
      <c r="B159" s="48"/>
      <c r="C159" s="49">
        <f>C157+C158</f>
        <v>0</v>
      </c>
      <c r="D159" s="58"/>
    </row>
  </sheetData>
  <autoFilter ref="A3:L19" xr:uid="{00000000-0009-0000-0000-000000000000}"/>
  <mergeCells count="7">
    <mergeCell ref="A1:F1"/>
    <mergeCell ref="F3:F4"/>
    <mergeCell ref="A3:A4"/>
    <mergeCell ref="B3:B4"/>
    <mergeCell ref="C3:C4"/>
    <mergeCell ref="D3:D4"/>
    <mergeCell ref="E3:E4"/>
  </mergeCells>
  <phoneticPr fontId="5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O56"/>
  <sheetViews>
    <sheetView workbookViewId="0">
      <selection activeCell="C22" sqref="C22"/>
    </sheetView>
  </sheetViews>
  <sheetFormatPr baseColWidth="10" defaultColWidth="10.81640625" defaultRowHeight="12.75" customHeight="1" x14ac:dyDescent="0.25"/>
  <cols>
    <col min="1" max="1" width="4" style="1" bestFit="1" customWidth="1"/>
    <col min="2" max="2" width="36.453125" style="1" bestFit="1" customWidth="1"/>
    <col min="3" max="3" width="24.26953125" style="1" bestFit="1" customWidth="1"/>
    <col min="4" max="4" width="10.7265625" style="1" customWidth="1"/>
    <col min="5" max="5" width="6" style="1" bestFit="1" customWidth="1"/>
    <col min="6" max="6" width="10.81640625" style="1"/>
    <col min="7" max="10" width="11.7265625" style="1" customWidth="1"/>
    <col min="11" max="11" width="14" style="1" customWidth="1"/>
    <col min="12" max="12" width="12.81640625" style="1" customWidth="1"/>
    <col min="13" max="13" width="11" style="1" bestFit="1" customWidth="1"/>
    <col min="14" max="14" width="11.26953125" style="1" customWidth="1"/>
    <col min="15" max="16384" width="10.81640625" style="1"/>
  </cols>
  <sheetData>
    <row r="1" spans="1:14" ht="25" customHeight="1" thickBot="1" x14ac:dyDescent="0.3">
      <c r="A1" s="81" t="s">
        <v>0</v>
      </c>
      <c r="B1" s="82" t="s">
        <v>1</v>
      </c>
      <c r="C1" s="82" t="s">
        <v>2</v>
      </c>
      <c r="D1" s="80" t="s">
        <v>71</v>
      </c>
      <c r="E1" s="80" t="s">
        <v>3</v>
      </c>
      <c r="F1" s="80" t="s">
        <v>4</v>
      </c>
      <c r="G1" s="80" t="s">
        <v>67</v>
      </c>
      <c r="H1" s="80" t="s">
        <v>68</v>
      </c>
      <c r="I1" s="80" t="s">
        <v>69</v>
      </c>
      <c r="J1" s="80" t="s">
        <v>66</v>
      </c>
      <c r="K1" s="80" t="s">
        <v>70</v>
      </c>
      <c r="L1" s="80" t="s">
        <v>72</v>
      </c>
      <c r="M1" s="80" t="s">
        <v>73</v>
      </c>
      <c r="N1" s="80" t="s">
        <v>65</v>
      </c>
    </row>
    <row r="2" spans="1:14" ht="12.75" customHeight="1" thickBot="1" x14ac:dyDescent="0.3">
      <c r="A2" s="81"/>
      <c r="B2" s="82"/>
      <c r="C2" s="82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12.75" customHeight="1" x14ac:dyDescent="0.25">
      <c r="A3" s="5"/>
      <c r="B3" s="6"/>
      <c r="C3" s="6"/>
      <c r="D3" s="6"/>
      <c r="E3" s="7"/>
      <c r="F3" s="7"/>
    </row>
    <row r="4" spans="1:14" ht="12.75" customHeight="1" x14ac:dyDescent="0.25">
      <c r="A4" s="8">
        <v>1</v>
      </c>
      <c r="B4" s="9" t="s">
        <v>7</v>
      </c>
      <c r="C4" s="9" t="s">
        <v>45</v>
      </c>
      <c r="D4" s="16">
        <v>15000</v>
      </c>
      <c r="E4" s="10">
        <v>31</v>
      </c>
      <c r="F4" s="11">
        <v>180</v>
      </c>
      <c r="G4" s="2">
        <f>+E4*F4</f>
        <v>5580</v>
      </c>
      <c r="H4" s="15" t="e">
        <f>(G4-VLOOKUP(G4,#REF!,1))*VLOOKUP(G4,#REF!,4)+VLOOKUP(G4,#REF!,3)</f>
        <v>#REF!</v>
      </c>
      <c r="I4" s="2" t="e">
        <f>+VLOOKUP(G4,#REF!,3)</f>
        <v>#REF!</v>
      </c>
      <c r="J4" s="2" t="e">
        <f>+IF(I4&gt;H4,I4-H4,0)</f>
        <v>#REF!</v>
      </c>
      <c r="K4" s="2" t="e">
        <f>+IF(H4&gt;I4,H4-I4,0)</f>
        <v>#REF!</v>
      </c>
      <c r="L4" s="15" t="e">
        <f>+G4+J4-K4</f>
        <v>#REF!</v>
      </c>
      <c r="M4" s="15" t="e">
        <f>+D4-L4</f>
        <v>#REF!</v>
      </c>
      <c r="N4" s="15" t="e">
        <f>+#REF!</f>
        <v>#REF!</v>
      </c>
    </row>
    <row r="5" spans="1:14" ht="12.75" customHeight="1" x14ac:dyDescent="0.25">
      <c r="A5" s="8">
        <v>2</v>
      </c>
      <c r="B5" s="9" t="s">
        <v>8</v>
      </c>
      <c r="C5" s="9" t="s">
        <v>46</v>
      </c>
      <c r="D5" s="16">
        <v>9000</v>
      </c>
      <c r="E5" s="10">
        <v>31</v>
      </c>
      <c r="F5" s="11">
        <v>130</v>
      </c>
      <c r="G5" s="2">
        <f t="shared" ref="G5:G41" si="0">+E5*F5</f>
        <v>4030</v>
      </c>
      <c r="H5" s="15" t="e">
        <f>(G5-VLOOKUP(G5,#REF!,1))*VLOOKUP(G5,#REF!,4)+VLOOKUP(G5,#REF!,3)</f>
        <v>#REF!</v>
      </c>
      <c r="I5" s="2" t="e">
        <f>+VLOOKUP(G5,#REF!,3)</f>
        <v>#REF!</v>
      </c>
      <c r="J5" s="2" t="e">
        <f t="shared" ref="J5:J41" si="1">+IF(I5&gt;H5,I5-H5,0)</f>
        <v>#REF!</v>
      </c>
      <c r="K5" s="2" t="e">
        <f t="shared" ref="K5:K41" si="2">+IF(H5&gt;I5,H5-I5,0)</f>
        <v>#REF!</v>
      </c>
      <c r="L5" s="15" t="e">
        <f t="shared" ref="L5:L41" si="3">+G5+J5-K5</f>
        <v>#REF!</v>
      </c>
      <c r="M5" s="15" t="e">
        <f t="shared" ref="M5:M41" si="4">+D5-L5</f>
        <v>#REF!</v>
      </c>
      <c r="N5" s="15" t="e">
        <f>+#REF!</f>
        <v>#REF!</v>
      </c>
    </row>
    <row r="6" spans="1:14" ht="12.75" customHeight="1" x14ac:dyDescent="0.25">
      <c r="A6" s="8">
        <v>3</v>
      </c>
      <c r="B6" s="9" t="s">
        <v>9</v>
      </c>
      <c r="C6" s="9" t="s">
        <v>47</v>
      </c>
      <c r="D6" s="16">
        <v>6000</v>
      </c>
      <c r="E6" s="10">
        <v>31</v>
      </c>
      <c r="F6" s="11">
        <v>90</v>
      </c>
      <c r="G6" s="2">
        <f t="shared" si="0"/>
        <v>2790</v>
      </c>
      <c r="H6" s="15" t="e">
        <f>(G6-VLOOKUP(G6,#REF!,1))*VLOOKUP(G6,#REF!,4)+VLOOKUP(G6,#REF!,3)</f>
        <v>#REF!</v>
      </c>
      <c r="I6" s="2" t="e">
        <f>+VLOOKUP(G6,#REF!,3)</f>
        <v>#REF!</v>
      </c>
      <c r="J6" s="2" t="e">
        <f t="shared" si="1"/>
        <v>#REF!</v>
      </c>
      <c r="K6" s="2" t="e">
        <f t="shared" si="2"/>
        <v>#REF!</v>
      </c>
      <c r="L6" s="15" t="e">
        <f t="shared" si="3"/>
        <v>#REF!</v>
      </c>
      <c r="M6" s="15" t="e">
        <f t="shared" si="4"/>
        <v>#REF!</v>
      </c>
      <c r="N6" s="15" t="e">
        <f>+#REF!</f>
        <v>#REF!</v>
      </c>
    </row>
    <row r="7" spans="1:14" ht="12.75" customHeight="1" x14ac:dyDescent="0.25">
      <c r="A7" s="8">
        <v>4</v>
      </c>
      <c r="B7" s="9" t="s">
        <v>10</v>
      </c>
      <c r="C7" s="9" t="s">
        <v>47</v>
      </c>
      <c r="D7" s="16">
        <v>6000</v>
      </c>
      <c r="E7" s="10">
        <v>31</v>
      </c>
      <c r="F7" s="11">
        <v>90</v>
      </c>
      <c r="G7" s="2">
        <f t="shared" si="0"/>
        <v>2790</v>
      </c>
      <c r="H7" s="15" t="e">
        <f>(G7-VLOOKUP(G7,#REF!,1))*VLOOKUP(G7,#REF!,4)+VLOOKUP(G7,#REF!,3)</f>
        <v>#REF!</v>
      </c>
      <c r="I7" s="2" t="e">
        <f>+VLOOKUP(G7,#REF!,3)</f>
        <v>#REF!</v>
      </c>
      <c r="J7" s="2" t="e">
        <f t="shared" si="1"/>
        <v>#REF!</v>
      </c>
      <c r="K7" s="2" t="e">
        <f t="shared" si="2"/>
        <v>#REF!</v>
      </c>
      <c r="L7" s="15" t="e">
        <f t="shared" si="3"/>
        <v>#REF!</v>
      </c>
      <c r="M7" s="15" t="e">
        <f t="shared" si="4"/>
        <v>#REF!</v>
      </c>
      <c r="N7" s="15" t="e">
        <f>+#REF!</f>
        <v>#REF!</v>
      </c>
    </row>
    <row r="8" spans="1:14" ht="12.75" customHeight="1" x14ac:dyDescent="0.25">
      <c r="A8" s="8">
        <v>5</v>
      </c>
      <c r="B8" s="9" t="s">
        <v>11</v>
      </c>
      <c r="C8" s="9" t="s">
        <v>47</v>
      </c>
      <c r="D8" s="16">
        <v>6000</v>
      </c>
      <c r="E8" s="10">
        <v>31</v>
      </c>
      <c r="F8" s="11">
        <v>90</v>
      </c>
      <c r="G8" s="2">
        <f t="shared" si="0"/>
        <v>2790</v>
      </c>
      <c r="H8" s="15" t="e">
        <f>(G8-VLOOKUP(G8,#REF!,1))*VLOOKUP(G8,#REF!,4)+VLOOKUP(G8,#REF!,3)</f>
        <v>#REF!</v>
      </c>
      <c r="I8" s="2" t="e">
        <f>+VLOOKUP(G8,#REF!,3)</f>
        <v>#REF!</v>
      </c>
      <c r="J8" s="2" t="e">
        <f t="shared" si="1"/>
        <v>#REF!</v>
      </c>
      <c r="K8" s="2" t="e">
        <f t="shared" si="2"/>
        <v>#REF!</v>
      </c>
      <c r="L8" s="15" t="e">
        <f t="shared" si="3"/>
        <v>#REF!</v>
      </c>
      <c r="M8" s="15" t="e">
        <f t="shared" si="4"/>
        <v>#REF!</v>
      </c>
      <c r="N8" s="15" t="e">
        <f>+#REF!</f>
        <v>#REF!</v>
      </c>
    </row>
    <row r="9" spans="1:14" ht="12.75" customHeight="1" x14ac:dyDescent="0.25">
      <c r="A9" s="8">
        <v>6</v>
      </c>
      <c r="B9" s="9" t="s">
        <v>12</v>
      </c>
      <c r="C9" s="9" t="s">
        <v>47</v>
      </c>
      <c r="D9" s="16">
        <v>4000</v>
      </c>
      <c r="E9" s="10">
        <v>31</v>
      </c>
      <c r="F9" s="11">
        <v>90</v>
      </c>
      <c r="G9" s="2">
        <f t="shared" si="0"/>
        <v>2790</v>
      </c>
      <c r="H9" s="15" t="e">
        <f>(G9-VLOOKUP(G9,#REF!,1))*VLOOKUP(G9,#REF!,4)+VLOOKUP(G9,#REF!,3)</f>
        <v>#REF!</v>
      </c>
      <c r="I9" s="2" t="e">
        <f>+VLOOKUP(G9,#REF!,3)</f>
        <v>#REF!</v>
      </c>
      <c r="J9" s="2" t="e">
        <f t="shared" si="1"/>
        <v>#REF!</v>
      </c>
      <c r="K9" s="2" t="e">
        <f t="shared" si="2"/>
        <v>#REF!</v>
      </c>
      <c r="L9" s="15" t="e">
        <f t="shared" si="3"/>
        <v>#REF!</v>
      </c>
      <c r="M9" s="15" t="e">
        <f t="shared" si="4"/>
        <v>#REF!</v>
      </c>
      <c r="N9" s="15" t="e">
        <f>+#REF!</f>
        <v>#REF!</v>
      </c>
    </row>
    <row r="10" spans="1:14" ht="12.75" customHeight="1" x14ac:dyDescent="0.25">
      <c r="A10" s="8">
        <v>7</v>
      </c>
      <c r="B10" s="9" t="s">
        <v>13</v>
      </c>
      <c r="C10" s="9" t="s">
        <v>47</v>
      </c>
      <c r="D10" s="16">
        <v>6000</v>
      </c>
      <c r="E10" s="10">
        <v>31</v>
      </c>
      <c r="F10" s="11">
        <v>90</v>
      </c>
      <c r="G10" s="2">
        <f t="shared" si="0"/>
        <v>2790</v>
      </c>
      <c r="H10" s="15" t="e">
        <f>(G10-VLOOKUP(G10,#REF!,1))*VLOOKUP(G10,#REF!,4)+VLOOKUP(G10,#REF!,3)</f>
        <v>#REF!</v>
      </c>
      <c r="I10" s="2" t="e">
        <f>+VLOOKUP(G10,#REF!,3)</f>
        <v>#REF!</v>
      </c>
      <c r="J10" s="2" t="e">
        <f t="shared" si="1"/>
        <v>#REF!</v>
      </c>
      <c r="K10" s="2" t="e">
        <f t="shared" si="2"/>
        <v>#REF!</v>
      </c>
      <c r="L10" s="15" t="e">
        <f t="shared" si="3"/>
        <v>#REF!</v>
      </c>
      <c r="M10" s="15" t="e">
        <f t="shared" si="4"/>
        <v>#REF!</v>
      </c>
      <c r="N10" s="15" t="e">
        <f>+#REF!</f>
        <v>#REF!</v>
      </c>
    </row>
    <row r="11" spans="1:14" ht="12.75" customHeight="1" x14ac:dyDescent="0.25">
      <c r="A11" s="8">
        <v>8</v>
      </c>
      <c r="B11" s="9" t="s">
        <v>14</v>
      </c>
      <c r="C11" s="9" t="s">
        <v>47</v>
      </c>
      <c r="D11" s="16">
        <v>7000</v>
      </c>
      <c r="E11" s="10">
        <v>31</v>
      </c>
      <c r="F11" s="11">
        <v>90</v>
      </c>
      <c r="G11" s="2">
        <f t="shared" si="0"/>
        <v>2790</v>
      </c>
      <c r="H11" s="15" t="e">
        <f>(G11-VLOOKUP(G11,#REF!,1))*VLOOKUP(G11,#REF!,4)+VLOOKUP(G11,#REF!,3)</f>
        <v>#REF!</v>
      </c>
      <c r="I11" s="2" t="e">
        <f>+VLOOKUP(G11,#REF!,3)</f>
        <v>#REF!</v>
      </c>
      <c r="J11" s="2" t="e">
        <f t="shared" si="1"/>
        <v>#REF!</v>
      </c>
      <c r="K11" s="2" t="e">
        <f t="shared" si="2"/>
        <v>#REF!</v>
      </c>
      <c r="L11" s="15" t="e">
        <f t="shared" si="3"/>
        <v>#REF!</v>
      </c>
      <c r="M11" s="15" t="e">
        <f t="shared" si="4"/>
        <v>#REF!</v>
      </c>
      <c r="N11" s="15" t="e">
        <f>+#REF!</f>
        <v>#REF!</v>
      </c>
    </row>
    <row r="12" spans="1:14" ht="12.75" customHeight="1" x14ac:dyDescent="0.25">
      <c r="A12" s="8">
        <v>9</v>
      </c>
      <c r="B12" s="9" t="s">
        <v>15</v>
      </c>
      <c r="C12" s="9" t="s">
        <v>48</v>
      </c>
      <c r="D12" s="16">
        <v>10000</v>
      </c>
      <c r="E12" s="10">
        <v>31</v>
      </c>
      <c r="F12" s="11">
        <v>162.91999999999999</v>
      </c>
      <c r="G12" s="2">
        <f t="shared" si="0"/>
        <v>5050.5199999999995</v>
      </c>
      <c r="H12" s="15" t="e">
        <f>(G12-VLOOKUP(G12,#REF!,1))*VLOOKUP(G12,#REF!,4)+VLOOKUP(G12,#REF!,3)</f>
        <v>#REF!</v>
      </c>
      <c r="I12" s="2" t="e">
        <f>+VLOOKUP(G12,#REF!,3)</f>
        <v>#REF!</v>
      </c>
      <c r="J12" s="2" t="e">
        <f t="shared" si="1"/>
        <v>#REF!</v>
      </c>
      <c r="K12" s="2" t="e">
        <f t="shared" si="2"/>
        <v>#REF!</v>
      </c>
      <c r="L12" s="15" t="e">
        <f t="shared" si="3"/>
        <v>#REF!</v>
      </c>
      <c r="M12" s="15" t="e">
        <f t="shared" si="4"/>
        <v>#REF!</v>
      </c>
      <c r="N12" s="15" t="e">
        <f>+#REF!</f>
        <v>#REF!</v>
      </c>
    </row>
    <row r="13" spans="1:14" ht="12.75" customHeight="1" x14ac:dyDescent="0.25">
      <c r="A13" s="8">
        <v>10</v>
      </c>
      <c r="B13" s="9" t="s">
        <v>16</v>
      </c>
      <c r="C13" s="9" t="s">
        <v>49</v>
      </c>
      <c r="D13" s="16">
        <v>4000</v>
      </c>
      <c r="E13" s="10">
        <v>31</v>
      </c>
      <c r="F13" s="11">
        <v>80.8</v>
      </c>
      <c r="G13" s="2">
        <f t="shared" si="0"/>
        <v>2504.7999999999997</v>
      </c>
      <c r="H13" s="15" t="e">
        <f>(G13-VLOOKUP(G13,#REF!,1))*VLOOKUP(G13,#REF!,4)+VLOOKUP(G13,#REF!,3)</f>
        <v>#REF!</v>
      </c>
      <c r="I13" s="2" t="e">
        <f>+VLOOKUP(G13,#REF!,3)</f>
        <v>#REF!</v>
      </c>
      <c r="J13" s="2" t="e">
        <f t="shared" si="1"/>
        <v>#REF!</v>
      </c>
      <c r="K13" s="2" t="e">
        <f t="shared" si="2"/>
        <v>#REF!</v>
      </c>
      <c r="L13" s="15" t="e">
        <f t="shared" si="3"/>
        <v>#REF!</v>
      </c>
      <c r="M13" s="15" t="e">
        <f t="shared" si="4"/>
        <v>#REF!</v>
      </c>
      <c r="N13" s="15" t="e">
        <f>+#REF!</f>
        <v>#REF!</v>
      </c>
    </row>
    <row r="14" spans="1:14" ht="12.75" customHeight="1" x14ac:dyDescent="0.25">
      <c r="A14" s="8">
        <v>11</v>
      </c>
      <c r="B14" s="9" t="s">
        <v>17</v>
      </c>
      <c r="C14" s="9" t="s">
        <v>49</v>
      </c>
      <c r="D14" s="16">
        <v>7000</v>
      </c>
      <c r="E14" s="10">
        <v>31</v>
      </c>
      <c r="F14" s="11">
        <v>80.8</v>
      </c>
      <c r="G14" s="2">
        <f t="shared" si="0"/>
        <v>2504.7999999999997</v>
      </c>
      <c r="H14" s="15" t="e">
        <f>(G14-VLOOKUP(G14,#REF!,1))*VLOOKUP(G14,#REF!,4)+VLOOKUP(G14,#REF!,3)</f>
        <v>#REF!</v>
      </c>
      <c r="I14" s="2" t="e">
        <f>+VLOOKUP(G14,#REF!,3)</f>
        <v>#REF!</v>
      </c>
      <c r="J14" s="2" t="e">
        <f t="shared" si="1"/>
        <v>#REF!</v>
      </c>
      <c r="K14" s="2" t="e">
        <f t="shared" si="2"/>
        <v>#REF!</v>
      </c>
      <c r="L14" s="15" t="e">
        <f t="shared" si="3"/>
        <v>#REF!</v>
      </c>
      <c r="M14" s="15" t="e">
        <f t="shared" si="4"/>
        <v>#REF!</v>
      </c>
      <c r="N14" s="15" t="e">
        <f>+#REF!</f>
        <v>#REF!</v>
      </c>
    </row>
    <row r="15" spans="1:14" ht="12.75" customHeight="1" x14ac:dyDescent="0.25">
      <c r="A15" s="8">
        <v>12</v>
      </c>
      <c r="B15" s="9" t="s">
        <v>18</v>
      </c>
      <c r="C15" s="9" t="s">
        <v>49</v>
      </c>
      <c r="D15" s="16">
        <v>6000</v>
      </c>
      <c r="E15" s="10">
        <v>31</v>
      </c>
      <c r="F15" s="11">
        <v>80.8</v>
      </c>
      <c r="G15" s="2">
        <f t="shared" si="0"/>
        <v>2504.7999999999997</v>
      </c>
      <c r="H15" s="15" t="e">
        <f>(G15-VLOOKUP(G15,#REF!,1))*VLOOKUP(G15,#REF!,4)+VLOOKUP(G15,#REF!,3)</f>
        <v>#REF!</v>
      </c>
      <c r="I15" s="2" t="e">
        <f>+VLOOKUP(G15,#REF!,3)</f>
        <v>#REF!</v>
      </c>
      <c r="J15" s="2" t="e">
        <f t="shared" si="1"/>
        <v>#REF!</v>
      </c>
      <c r="K15" s="2" t="e">
        <f t="shared" si="2"/>
        <v>#REF!</v>
      </c>
      <c r="L15" s="15" t="e">
        <f t="shared" si="3"/>
        <v>#REF!</v>
      </c>
      <c r="M15" s="15" t="e">
        <f t="shared" si="4"/>
        <v>#REF!</v>
      </c>
      <c r="N15" s="15" t="e">
        <f>+#REF!</f>
        <v>#REF!</v>
      </c>
    </row>
    <row r="16" spans="1:14" ht="12.75" customHeight="1" x14ac:dyDescent="0.25">
      <c r="A16" s="8">
        <v>13</v>
      </c>
      <c r="B16" s="9" t="s">
        <v>19</v>
      </c>
      <c r="C16" s="9" t="s">
        <v>49</v>
      </c>
      <c r="D16" s="16">
        <v>6000</v>
      </c>
      <c r="E16" s="10">
        <v>31</v>
      </c>
      <c r="F16" s="11">
        <v>80.8</v>
      </c>
      <c r="G16" s="2">
        <f t="shared" si="0"/>
        <v>2504.7999999999997</v>
      </c>
      <c r="H16" s="15" t="e">
        <f>(G16-VLOOKUP(G16,#REF!,1))*VLOOKUP(G16,#REF!,4)+VLOOKUP(G16,#REF!,3)</f>
        <v>#REF!</v>
      </c>
      <c r="I16" s="2" t="e">
        <f>+VLOOKUP(G16,#REF!,3)</f>
        <v>#REF!</v>
      </c>
      <c r="J16" s="2" t="e">
        <f t="shared" si="1"/>
        <v>#REF!</v>
      </c>
      <c r="K16" s="2" t="e">
        <f t="shared" si="2"/>
        <v>#REF!</v>
      </c>
      <c r="L16" s="15" t="e">
        <f t="shared" si="3"/>
        <v>#REF!</v>
      </c>
      <c r="M16" s="15" t="e">
        <f t="shared" si="4"/>
        <v>#REF!</v>
      </c>
      <c r="N16" s="15" t="e">
        <f>+#REF!</f>
        <v>#REF!</v>
      </c>
    </row>
    <row r="17" spans="1:14" ht="12.75" customHeight="1" x14ac:dyDescent="0.25">
      <c r="A17" s="8">
        <v>14</v>
      </c>
      <c r="B17" s="9" t="s">
        <v>20</v>
      </c>
      <c r="C17" s="9" t="s">
        <v>49</v>
      </c>
      <c r="D17" s="16">
        <v>7000</v>
      </c>
      <c r="E17" s="10">
        <v>31</v>
      </c>
      <c r="F17" s="11">
        <v>80.8</v>
      </c>
      <c r="G17" s="2">
        <f t="shared" si="0"/>
        <v>2504.7999999999997</v>
      </c>
      <c r="H17" s="15" t="e">
        <f>(G17-VLOOKUP(G17,#REF!,1))*VLOOKUP(G17,#REF!,4)+VLOOKUP(G17,#REF!,3)</f>
        <v>#REF!</v>
      </c>
      <c r="I17" s="2" t="e">
        <f>+VLOOKUP(G17,#REF!,3)</f>
        <v>#REF!</v>
      </c>
      <c r="J17" s="2" t="e">
        <f t="shared" si="1"/>
        <v>#REF!</v>
      </c>
      <c r="K17" s="2" t="e">
        <f t="shared" si="2"/>
        <v>#REF!</v>
      </c>
      <c r="L17" s="15" t="e">
        <f t="shared" si="3"/>
        <v>#REF!</v>
      </c>
      <c r="M17" s="15" t="e">
        <f t="shared" si="4"/>
        <v>#REF!</v>
      </c>
      <c r="N17" s="15" t="e">
        <f>+#REF!</f>
        <v>#REF!</v>
      </c>
    </row>
    <row r="18" spans="1:14" ht="12.75" customHeight="1" x14ac:dyDescent="0.25">
      <c r="A18" s="8">
        <v>15</v>
      </c>
      <c r="B18" s="9" t="s">
        <v>21</v>
      </c>
      <c r="C18" s="9" t="s">
        <v>49</v>
      </c>
      <c r="D18" s="16">
        <v>6000</v>
      </c>
      <c r="E18" s="10">
        <v>31</v>
      </c>
      <c r="F18" s="11">
        <v>80.8</v>
      </c>
      <c r="G18" s="2">
        <f t="shared" si="0"/>
        <v>2504.7999999999997</v>
      </c>
      <c r="H18" s="15" t="e">
        <f>(G18-VLOOKUP(G18,#REF!,1))*VLOOKUP(G18,#REF!,4)+VLOOKUP(G18,#REF!,3)</f>
        <v>#REF!</v>
      </c>
      <c r="I18" s="2" t="e">
        <f>+VLOOKUP(G18,#REF!,3)</f>
        <v>#REF!</v>
      </c>
      <c r="J18" s="2" t="e">
        <f t="shared" si="1"/>
        <v>#REF!</v>
      </c>
      <c r="K18" s="2" t="e">
        <f t="shared" si="2"/>
        <v>#REF!</v>
      </c>
      <c r="L18" s="15" t="e">
        <f t="shared" si="3"/>
        <v>#REF!</v>
      </c>
      <c r="M18" s="15" t="e">
        <f t="shared" si="4"/>
        <v>#REF!</v>
      </c>
      <c r="N18" s="15" t="e">
        <f>+#REF!</f>
        <v>#REF!</v>
      </c>
    </row>
    <row r="19" spans="1:14" ht="12.75" customHeight="1" x14ac:dyDescent="0.25">
      <c r="A19" s="8">
        <v>16</v>
      </c>
      <c r="B19" s="9" t="s">
        <v>22</v>
      </c>
      <c r="C19" s="9" t="s">
        <v>49</v>
      </c>
      <c r="D19" s="16">
        <v>6000</v>
      </c>
      <c r="E19" s="10">
        <v>31</v>
      </c>
      <c r="F19" s="11">
        <v>80.8</v>
      </c>
      <c r="G19" s="2">
        <f t="shared" si="0"/>
        <v>2504.7999999999997</v>
      </c>
      <c r="H19" s="15" t="e">
        <f>(G19-VLOOKUP(G19,#REF!,1))*VLOOKUP(G19,#REF!,4)+VLOOKUP(G19,#REF!,3)</f>
        <v>#REF!</v>
      </c>
      <c r="I19" s="2" t="e">
        <f>+VLOOKUP(G19,#REF!,3)</f>
        <v>#REF!</v>
      </c>
      <c r="J19" s="2" t="e">
        <f t="shared" si="1"/>
        <v>#REF!</v>
      </c>
      <c r="K19" s="2" t="e">
        <f t="shared" si="2"/>
        <v>#REF!</v>
      </c>
      <c r="L19" s="15" t="e">
        <f t="shared" si="3"/>
        <v>#REF!</v>
      </c>
      <c r="M19" s="15" t="e">
        <f t="shared" si="4"/>
        <v>#REF!</v>
      </c>
      <c r="N19" s="15" t="e">
        <f>+#REF!</f>
        <v>#REF!</v>
      </c>
    </row>
    <row r="20" spans="1:14" ht="12.75" customHeight="1" x14ac:dyDescent="0.25">
      <c r="A20" s="8">
        <v>17</v>
      </c>
      <c r="B20" s="9" t="s">
        <v>23</v>
      </c>
      <c r="C20" s="9" t="s">
        <v>50</v>
      </c>
      <c r="D20" s="16">
        <v>7000</v>
      </c>
      <c r="E20" s="10">
        <v>31</v>
      </c>
      <c r="F20" s="11">
        <v>80.8</v>
      </c>
      <c r="G20" s="2">
        <f t="shared" si="0"/>
        <v>2504.7999999999997</v>
      </c>
      <c r="H20" s="15" t="e">
        <f>(G20-VLOOKUP(G20,#REF!,1))*VLOOKUP(G20,#REF!,4)+VLOOKUP(G20,#REF!,3)</f>
        <v>#REF!</v>
      </c>
      <c r="I20" s="2" t="e">
        <f>+VLOOKUP(G20,#REF!,3)</f>
        <v>#REF!</v>
      </c>
      <c r="J20" s="2" t="e">
        <f t="shared" si="1"/>
        <v>#REF!</v>
      </c>
      <c r="K20" s="2" t="e">
        <f t="shared" si="2"/>
        <v>#REF!</v>
      </c>
      <c r="L20" s="15" t="e">
        <f t="shared" si="3"/>
        <v>#REF!</v>
      </c>
      <c r="M20" s="15" t="e">
        <f t="shared" si="4"/>
        <v>#REF!</v>
      </c>
      <c r="N20" s="15" t="e">
        <f>+#REF!</f>
        <v>#REF!</v>
      </c>
    </row>
    <row r="21" spans="1:14" ht="12.75" customHeight="1" x14ac:dyDescent="0.25">
      <c r="A21" s="8">
        <v>18</v>
      </c>
      <c r="B21" s="9" t="s">
        <v>24</v>
      </c>
      <c r="C21" s="9" t="s">
        <v>51</v>
      </c>
      <c r="D21" s="16">
        <v>9000</v>
      </c>
      <c r="E21" s="10">
        <v>31</v>
      </c>
      <c r="F21" s="11">
        <v>130</v>
      </c>
      <c r="G21" s="2">
        <f t="shared" si="0"/>
        <v>4030</v>
      </c>
      <c r="H21" s="15" t="e">
        <f>(G21-VLOOKUP(G21,#REF!,1))*VLOOKUP(G21,#REF!,4)+VLOOKUP(G21,#REF!,3)</f>
        <v>#REF!</v>
      </c>
      <c r="I21" s="2" t="e">
        <f>+VLOOKUP(G21,#REF!,3)</f>
        <v>#REF!</v>
      </c>
      <c r="J21" s="2" t="e">
        <f t="shared" si="1"/>
        <v>#REF!</v>
      </c>
      <c r="K21" s="2" t="e">
        <f t="shared" si="2"/>
        <v>#REF!</v>
      </c>
      <c r="L21" s="15" t="e">
        <f t="shared" si="3"/>
        <v>#REF!</v>
      </c>
      <c r="M21" s="15" t="e">
        <f t="shared" si="4"/>
        <v>#REF!</v>
      </c>
      <c r="N21" s="15" t="e">
        <f>+#REF!</f>
        <v>#REF!</v>
      </c>
    </row>
    <row r="22" spans="1:14" ht="12.75" customHeight="1" x14ac:dyDescent="0.25">
      <c r="A22" s="8">
        <v>19</v>
      </c>
      <c r="B22" s="9" t="s">
        <v>25</v>
      </c>
      <c r="C22" s="9" t="s">
        <v>52</v>
      </c>
      <c r="D22" s="16">
        <v>6000</v>
      </c>
      <c r="E22" s="10">
        <v>31</v>
      </c>
      <c r="F22" s="11">
        <v>80.8</v>
      </c>
      <c r="G22" s="2">
        <f t="shared" si="0"/>
        <v>2504.7999999999997</v>
      </c>
      <c r="H22" s="15" t="e">
        <f>(G22-VLOOKUP(G22,#REF!,1))*VLOOKUP(G22,#REF!,4)+VLOOKUP(G22,#REF!,3)</f>
        <v>#REF!</v>
      </c>
      <c r="I22" s="2" t="e">
        <f>+VLOOKUP(G22,#REF!,3)</f>
        <v>#REF!</v>
      </c>
      <c r="J22" s="2" t="e">
        <f t="shared" si="1"/>
        <v>#REF!</v>
      </c>
      <c r="K22" s="2" t="e">
        <f t="shared" si="2"/>
        <v>#REF!</v>
      </c>
      <c r="L22" s="15" t="e">
        <f t="shared" si="3"/>
        <v>#REF!</v>
      </c>
      <c r="M22" s="15" t="e">
        <f t="shared" si="4"/>
        <v>#REF!</v>
      </c>
      <c r="N22" s="15" t="e">
        <f>+#REF!</f>
        <v>#REF!</v>
      </c>
    </row>
    <row r="23" spans="1:14" ht="12.75" customHeight="1" x14ac:dyDescent="0.25">
      <c r="A23" s="8">
        <v>20</v>
      </c>
      <c r="B23" s="9" t="s">
        <v>26</v>
      </c>
      <c r="C23" s="9" t="s">
        <v>52</v>
      </c>
      <c r="D23" s="16">
        <v>6000</v>
      </c>
      <c r="E23" s="10">
        <v>31</v>
      </c>
      <c r="F23" s="11">
        <v>80.8</v>
      </c>
      <c r="G23" s="2">
        <f t="shared" si="0"/>
        <v>2504.7999999999997</v>
      </c>
      <c r="H23" s="15" t="e">
        <f>(G23-VLOOKUP(G23,#REF!,1))*VLOOKUP(G23,#REF!,4)+VLOOKUP(G23,#REF!,3)</f>
        <v>#REF!</v>
      </c>
      <c r="I23" s="2" t="e">
        <f>+VLOOKUP(G23,#REF!,3)</f>
        <v>#REF!</v>
      </c>
      <c r="J23" s="2" t="e">
        <f t="shared" si="1"/>
        <v>#REF!</v>
      </c>
      <c r="K23" s="2" t="e">
        <f t="shared" si="2"/>
        <v>#REF!</v>
      </c>
      <c r="L23" s="15" t="e">
        <f t="shared" si="3"/>
        <v>#REF!</v>
      </c>
      <c r="M23" s="15" t="e">
        <f t="shared" si="4"/>
        <v>#REF!</v>
      </c>
      <c r="N23" s="15" t="e">
        <f>+#REF!</f>
        <v>#REF!</v>
      </c>
    </row>
    <row r="24" spans="1:14" ht="12.75" customHeight="1" x14ac:dyDescent="0.25">
      <c r="A24" s="8">
        <v>21</v>
      </c>
      <c r="B24" s="9" t="s">
        <v>27</v>
      </c>
      <c r="C24" s="9" t="s">
        <v>52</v>
      </c>
      <c r="D24" s="16">
        <v>6000</v>
      </c>
      <c r="E24" s="10">
        <v>31</v>
      </c>
      <c r="F24" s="11">
        <v>80.8</v>
      </c>
      <c r="G24" s="2">
        <f t="shared" si="0"/>
        <v>2504.7999999999997</v>
      </c>
      <c r="H24" s="15" t="e">
        <f>(G24-VLOOKUP(G24,#REF!,1))*VLOOKUP(G24,#REF!,4)+VLOOKUP(G24,#REF!,3)</f>
        <v>#REF!</v>
      </c>
      <c r="I24" s="2" t="e">
        <f>+VLOOKUP(G24,#REF!,3)</f>
        <v>#REF!</v>
      </c>
      <c r="J24" s="2" t="e">
        <f t="shared" si="1"/>
        <v>#REF!</v>
      </c>
      <c r="K24" s="2" t="e">
        <f t="shared" si="2"/>
        <v>#REF!</v>
      </c>
      <c r="L24" s="15" t="e">
        <f t="shared" si="3"/>
        <v>#REF!</v>
      </c>
      <c r="M24" s="15" t="e">
        <f t="shared" si="4"/>
        <v>#REF!</v>
      </c>
      <c r="N24" s="15" t="e">
        <f>+#REF!</f>
        <v>#REF!</v>
      </c>
    </row>
    <row r="25" spans="1:14" ht="12.75" customHeight="1" x14ac:dyDescent="0.25">
      <c r="A25" s="8">
        <v>22</v>
      </c>
      <c r="B25" s="9" t="s">
        <v>28</v>
      </c>
      <c r="C25" s="9" t="s">
        <v>52</v>
      </c>
      <c r="D25" s="16">
        <v>6000</v>
      </c>
      <c r="E25" s="10">
        <v>31</v>
      </c>
      <c r="F25" s="11">
        <v>80.8</v>
      </c>
      <c r="G25" s="2">
        <f t="shared" si="0"/>
        <v>2504.7999999999997</v>
      </c>
      <c r="H25" s="15" t="e">
        <f>(G25-VLOOKUP(G25,#REF!,1))*VLOOKUP(G25,#REF!,4)+VLOOKUP(G25,#REF!,3)</f>
        <v>#REF!</v>
      </c>
      <c r="I25" s="2" t="e">
        <f>+VLOOKUP(G25,#REF!,3)</f>
        <v>#REF!</v>
      </c>
      <c r="J25" s="2" t="e">
        <f t="shared" si="1"/>
        <v>#REF!</v>
      </c>
      <c r="K25" s="2" t="e">
        <f t="shared" si="2"/>
        <v>#REF!</v>
      </c>
      <c r="L25" s="15" t="e">
        <f t="shared" si="3"/>
        <v>#REF!</v>
      </c>
      <c r="M25" s="15" t="e">
        <f t="shared" si="4"/>
        <v>#REF!</v>
      </c>
      <c r="N25" s="15" t="e">
        <f>+#REF!</f>
        <v>#REF!</v>
      </c>
    </row>
    <row r="26" spans="1:14" ht="12.75" customHeight="1" x14ac:dyDescent="0.25">
      <c r="A26" s="8">
        <v>23</v>
      </c>
      <c r="B26" s="9" t="s">
        <v>29</v>
      </c>
      <c r="C26" s="9" t="s">
        <v>53</v>
      </c>
      <c r="D26" s="16">
        <v>4000</v>
      </c>
      <c r="E26" s="10">
        <v>31</v>
      </c>
      <c r="F26" s="11">
        <v>73.88</v>
      </c>
      <c r="G26" s="2">
        <f t="shared" si="0"/>
        <v>2290.2799999999997</v>
      </c>
      <c r="H26" s="15" t="e">
        <f>(G26-VLOOKUP(G26,#REF!,1))*VLOOKUP(G26,#REF!,4)+VLOOKUP(G26,#REF!,3)</f>
        <v>#REF!</v>
      </c>
      <c r="I26" s="2" t="e">
        <f>+VLOOKUP(G26,#REF!,3)</f>
        <v>#REF!</v>
      </c>
      <c r="J26" s="2" t="e">
        <f t="shared" si="1"/>
        <v>#REF!</v>
      </c>
      <c r="K26" s="2" t="e">
        <f t="shared" si="2"/>
        <v>#REF!</v>
      </c>
      <c r="L26" s="15" t="e">
        <f t="shared" si="3"/>
        <v>#REF!</v>
      </c>
      <c r="M26" s="15" t="e">
        <f t="shared" si="4"/>
        <v>#REF!</v>
      </c>
      <c r="N26" s="15" t="e">
        <f>+#REF!</f>
        <v>#REF!</v>
      </c>
    </row>
    <row r="27" spans="1:14" ht="12.75" customHeight="1" x14ac:dyDescent="0.25">
      <c r="A27" s="8">
        <v>24</v>
      </c>
      <c r="B27" s="9" t="s">
        <v>30</v>
      </c>
      <c r="C27" s="9" t="s">
        <v>51</v>
      </c>
      <c r="D27" s="16">
        <v>8000</v>
      </c>
      <c r="E27" s="10">
        <v>31</v>
      </c>
      <c r="F27" s="11">
        <v>87</v>
      </c>
      <c r="G27" s="2">
        <f t="shared" si="0"/>
        <v>2697</v>
      </c>
      <c r="H27" s="15" t="e">
        <f>(G27-VLOOKUP(G27,#REF!,1))*VLOOKUP(G27,#REF!,4)+VLOOKUP(G27,#REF!,3)</f>
        <v>#REF!</v>
      </c>
      <c r="I27" s="2" t="e">
        <f>+VLOOKUP(G27,#REF!,3)</f>
        <v>#REF!</v>
      </c>
      <c r="J27" s="2" t="e">
        <f t="shared" si="1"/>
        <v>#REF!</v>
      </c>
      <c r="K27" s="2" t="e">
        <f t="shared" si="2"/>
        <v>#REF!</v>
      </c>
      <c r="L27" s="15" t="e">
        <f t="shared" si="3"/>
        <v>#REF!</v>
      </c>
      <c r="M27" s="15" t="e">
        <f t="shared" si="4"/>
        <v>#REF!</v>
      </c>
      <c r="N27" s="15" t="e">
        <f>+#REF!</f>
        <v>#REF!</v>
      </c>
    </row>
    <row r="28" spans="1:14" ht="12.75" customHeight="1" x14ac:dyDescent="0.25">
      <c r="A28" s="8">
        <v>25</v>
      </c>
      <c r="B28" s="9" t="s">
        <v>31</v>
      </c>
      <c r="C28" s="9" t="s">
        <v>54</v>
      </c>
      <c r="D28" s="16">
        <v>4000</v>
      </c>
      <c r="E28" s="10">
        <v>31</v>
      </c>
      <c r="F28" s="11">
        <v>69</v>
      </c>
      <c r="G28" s="2">
        <f t="shared" si="0"/>
        <v>2139</v>
      </c>
      <c r="H28" s="15" t="e">
        <f>(G28-VLOOKUP(G28,#REF!,1))*VLOOKUP(G28,#REF!,4)+VLOOKUP(G28,#REF!,3)</f>
        <v>#REF!</v>
      </c>
      <c r="I28" s="2" t="e">
        <f>+VLOOKUP(G28,#REF!,3)</f>
        <v>#REF!</v>
      </c>
      <c r="J28" s="2" t="e">
        <f t="shared" si="1"/>
        <v>#REF!</v>
      </c>
      <c r="K28" s="2" t="e">
        <f t="shared" si="2"/>
        <v>#REF!</v>
      </c>
      <c r="L28" s="15" t="e">
        <f t="shared" si="3"/>
        <v>#REF!</v>
      </c>
      <c r="M28" s="15" t="e">
        <f t="shared" si="4"/>
        <v>#REF!</v>
      </c>
      <c r="N28" s="15" t="e">
        <f>+#REF!</f>
        <v>#REF!</v>
      </c>
    </row>
    <row r="29" spans="1:14" ht="12.75" customHeight="1" x14ac:dyDescent="0.25">
      <c r="A29" s="8">
        <v>26</v>
      </c>
      <c r="B29" s="9" t="s">
        <v>32</v>
      </c>
      <c r="C29" s="9" t="s">
        <v>54</v>
      </c>
      <c r="D29" s="16">
        <v>4000</v>
      </c>
      <c r="E29" s="10">
        <v>31</v>
      </c>
      <c r="F29" s="11">
        <v>69</v>
      </c>
      <c r="G29" s="2">
        <f t="shared" si="0"/>
        <v>2139</v>
      </c>
      <c r="H29" s="15" t="e">
        <f>(G29-VLOOKUP(G29,#REF!,1))*VLOOKUP(G29,#REF!,4)+VLOOKUP(G29,#REF!,3)</f>
        <v>#REF!</v>
      </c>
      <c r="I29" s="2" t="e">
        <f>+VLOOKUP(G29,#REF!,3)</f>
        <v>#REF!</v>
      </c>
      <c r="J29" s="2" t="e">
        <f t="shared" si="1"/>
        <v>#REF!</v>
      </c>
      <c r="K29" s="2" t="e">
        <f t="shared" si="2"/>
        <v>#REF!</v>
      </c>
      <c r="L29" s="15" t="e">
        <f t="shared" si="3"/>
        <v>#REF!</v>
      </c>
      <c r="M29" s="15" t="e">
        <f t="shared" si="4"/>
        <v>#REF!</v>
      </c>
      <c r="N29" s="15" t="e">
        <f>+#REF!</f>
        <v>#REF!</v>
      </c>
    </row>
    <row r="30" spans="1:14" ht="12.75" customHeight="1" x14ac:dyDescent="0.25">
      <c r="A30" s="8">
        <v>27</v>
      </c>
      <c r="B30" s="9" t="s">
        <v>33</v>
      </c>
      <c r="C30" s="9" t="s">
        <v>52</v>
      </c>
      <c r="D30" s="16">
        <v>4000</v>
      </c>
      <c r="E30" s="10">
        <v>31</v>
      </c>
      <c r="F30" s="11">
        <v>69</v>
      </c>
      <c r="G30" s="2">
        <f t="shared" si="0"/>
        <v>2139</v>
      </c>
      <c r="H30" s="15" t="e">
        <f>(G30-VLOOKUP(G30,#REF!,1))*VLOOKUP(G30,#REF!,4)+VLOOKUP(G30,#REF!,3)</f>
        <v>#REF!</v>
      </c>
      <c r="I30" s="2" t="e">
        <f>+VLOOKUP(G30,#REF!,3)</f>
        <v>#REF!</v>
      </c>
      <c r="J30" s="2" t="e">
        <f t="shared" si="1"/>
        <v>#REF!</v>
      </c>
      <c r="K30" s="2" t="e">
        <f t="shared" si="2"/>
        <v>#REF!</v>
      </c>
      <c r="L30" s="15" t="e">
        <f t="shared" si="3"/>
        <v>#REF!</v>
      </c>
      <c r="M30" s="15" t="e">
        <f t="shared" si="4"/>
        <v>#REF!</v>
      </c>
      <c r="N30" s="15" t="e">
        <f>+#REF!</f>
        <v>#REF!</v>
      </c>
    </row>
    <row r="31" spans="1:14" ht="12.75" customHeight="1" x14ac:dyDescent="0.25">
      <c r="A31" s="8">
        <v>28</v>
      </c>
      <c r="B31" s="9" t="s">
        <v>34</v>
      </c>
      <c r="C31" s="9" t="s">
        <v>55</v>
      </c>
      <c r="D31" s="16">
        <v>10000</v>
      </c>
      <c r="E31" s="10">
        <v>31</v>
      </c>
      <c r="F31" s="11">
        <v>130</v>
      </c>
      <c r="G31" s="2">
        <f t="shared" si="0"/>
        <v>4030</v>
      </c>
      <c r="H31" s="15" t="e">
        <f>(G31-VLOOKUP(G31,#REF!,1))*VLOOKUP(G31,#REF!,4)+VLOOKUP(G31,#REF!,3)</f>
        <v>#REF!</v>
      </c>
      <c r="I31" s="2" t="e">
        <f>+VLOOKUP(G31,#REF!,3)</f>
        <v>#REF!</v>
      </c>
      <c r="J31" s="2" t="e">
        <f t="shared" si="1"/>
        <v>#REF!</v>
      </c>
      <c r="K31" s="2" t="e">
        <f t="shared" si="2"/>
        <v>#REF!</v>
      </c>
      <c r="L31" s="15" t="e">
        <f t="shared" si="3"/>
        <v>#REF!</v>
      </c>
      <c r="M31" s="15" t="e">
        <f t="shared" si="4"/>
        <v>#REF!</v>
      </c>
      <c r="N31" s="15" t="e">
        <f>+#REF!</f>
        <v>#REF!</v>
      </c>
    </row>
    <row r="32" spans="1:14" ht="12.75" customHeight="1" x14ac:dyDescent="0.25">
      <c r="A32" s="8">
        <v>29</v>
      </c>
      <c r="B32" s="9" t="s">
        <v>35</v>
      </c>
      <c r="C32" s="9" t="s">
        <v>56</v>
      </c>
      <c r="D32" s="16">
        <v>4000</v>
      </c>
      <c r="E32" s="10">
        <v>31</v>
      </c>
      <c r="F32" s="11">
        <v>80.8</v>
      </c>
      <c r="G32" s="2">
        <f t="shared" si="0"/>
        <v>2504.7999999999997</v>
      </c>
      <c r="H32" s="15" t="e">
        <f>(G32-VLOOKUP(G32,#REF!,1))*VLOOKUP(G32,#REF!,4)+VLOOKUP(G32,#REF!,3)</f>
        <v>#REF!</v>
      </c>
      <c r="I32" s="2" t="e">
        <f>+VLOOKUP(G32,#REF!,3)</f>
        <v>#REF!</v>
      </c>
      <c r="J32" s="2" t="e">
        <f t="shared" si="1"/>
        <v>#REF!</v>
      </c>
      <c r="K32" s="2" t="e">
        <f t="shared" si="2"/>
        <v>#REF!</v>
      </c>
      <c r="L32" s="15" t="e">
        <f t="shared" si="3"/>
        <v>#REF!</v>
      </c>
      <c r="M32" s="15" t="e">
        <f t="shared" si="4"/>
        <v>#REF!</v>
      </c>
      <c r="N32" s="15" t="e">
        <f>+#REF!</f>
        <v>#REF!</v>
      </c>
    </row>
    <row r="33" spans="1:15" ht="12.75" customHeight="1" x14ac:dyDescent="0.25">
      <c r="A33" s="8">
        <v>30</v>
      </c>
      <c r="B33" s="9" t="s">
        <v>36</v>
      </c>
      <c r="C33" s="9" t="s">
        <v>57</v>
      </c>
      <c r="D33" s="16">
        <v>4000</v>
      </c>
      <c r="E33" s="10">
        <v>31</v>
      </c>
      <c r="F33" s="11">
        <v>80.8</v>
      </c>
      <c r="G33" s="2">
        <f t="shared" si="0"/>
        <v>2504.7999999999997</v>
      </c>
      <c r="H33" s="15" t="e">
        <f>(G33-VLOOKUP(G33,#REF!,1))*VLOOKUP(G33,#REF!,4)+VLOOKUP(G33,#REF!,3)</f>
        <v>#REF!</v>
      </c>
      <c r="I33" s="2" t="e">
        <f>+VLOOKUP(G33,#REF!,3)</f>
        <v>#REF!</v>
      </c>
      <c r="J33" s="2" t="e">
        <f t="shared" si="1"/>
        <v>#REF!</v>
      </c>
      <c r="K33" s="2" t="e">
        <f t="shared" si="2"/>
        <v>#REF!</v>
      </c>
      <c r="L33" s="15" t="e">
        <f t="shared" si="3"/>
        <v>#REF!</v>
      </c>
      <c r="M33" s="15" t="e">
        <f t="shared" si="4"/>
        <v>#REF!</v>
      </c>
      <c r="N33" s="15" t="e">
        <f>+#REF!</f>
        <v>#REF!</v>
      </c>
    </row>
    <row r="34" spans="1:15" ht="12.75" customHeight="1" x14ac:dyDescent="0.25">
      <c r="A34" s="8">
        <v>31</v>
      </c>
      <c r="B34" s="9" t="s">
        <v>37</v>
      </c>
      <c r="C34" s="9" t="s">
        <v>58</v>
      </c>
      <c r="D34" s="16">
        <v>5000</v>
      </c>
      <c r="E34" s="10">
        <v>31</v>
      </c>
      <c r="F34" s="11">
        <v>80.8</v>
      </c>
      <c r="G34" s="2">
        <f t="shared" si="0"/>
        <v>2504.7999999999997</v>
      </c>
      <c r="H34" s="15" t="e">
        <f>(G34-VLOOKUP(G34,#REF!,1))*VLOOKUP(G34,#REF!,4)+VLOOKUP(G34,#REF!,3)</f>
        <v>#REF!</v>
      </c>
      <c r="I34" s="2" t="e">
        <f>+VLOOKUP(G34,#REF!,3)</f>
        <v>#REF!</v>
      </c>
      <c r="J34" s="2" t="e">
        <f t="shared" si="1"/>
        <v>#REF!</v>
      </c>
      <c r="K34" s="2" t="e">
        <f t="shared" si="2"/>
        <v>#REF!</v>
      </c>
      <c r="L34" s="15" t="e">
        <f t="shared" si="3"/>
        <v>#REF!</v>
      </c>
      <c r="M34" s="15" t="e">
        <f t="shared" si="4"/>
        <v>#REF!</v>
      </c>
      <c r="N34" s="15" t="e">
        <f>+#REF!</f>
        <v>#REF!</v>
      </c>
    </row>
    <row r="35" spans="1:15" ht="12.75" customHeight="1" x14ac:dyDescent="0.25">
      <c r="A35" s="8">
        <v>32</v>
      </c>
      <c r="B35" s="9" t="s">
        <v>38</v>
      </c>
      <c r="C35" s="9" t="s">
        <v>59</v>
      </c>
      <c r="D35" s="16">
        <v>6000</v>
      </c>
      <c r="E35" s="10">
        <v>31</v>
      </c>
      <c r="F35" s="11">
        <v>80.8</v>
      </c>
      <c r="G35" s="2">
        <f t="shared" si="0"/>
        <v>2504.7999999999997</v>
      </c>
      <c r="H35" s="15" t="e">
        <f>(G35-VLOOKUP(G35,#REF!,1))*VLOOKUP(G35,#REF!,4)+VLOOKUP(G35,#REF!,3)</f>
        <v>#REF!</v>
      </c>
      <c r="I35" s="2" t="e">
        <f>+VLOOKUP(G35,#REF!,3)</f>
        <v>#REF!</v>
      </c>
      <c r="J35" s="2" t="e">
        <f t="shared" si="1"/>
        <v>#REF!</v>
      </c>
      <c r="K35" s="2" t="e">
        <f t="shared" si="2"/>
        <v>#REF!</v>
      </c>
      <c r="L35" s="15" t="e">
        <f t="shared" si="3"/>
        <v>#REF!</v>
      </c>
      <c r="M35" s="15" t="e">
        <f t="shared" si="4"/>
        <v>#REF!</v>
      </c>
      <c r="N35" s="15" t="e">
        <f>+#REF!</f>
        <v>#REF!</v>
      </c>
    </row>
    <row r="36" spans="1:15" ht="12.75" customHeight="1" x14ac:dyDescent="0.25">
      <c r="A36" s="8">
        <v>33</v>
      </c>
      <c r="B36" s="9" t="s">
        <v>39</v>
      </c>
      <c r="C36" s="9" t="s">
        <v>60</v>
      </c>
      <c r="D36" s="16">
        <v>5600</v>
      </c>
      <c r="E36" s="10">
        <v>31</v>
      </c>
      <c r="F36" s="11">
        <v>80.8</v>
      </c>
      <c r="G36" s="2">
        <f t="shared" si="0"/>
        <v>2504.7999999999997</v>
      </c>
      <c r="H36" s="15" t="e">
        <f>(G36-VLOOKUP(G36,#REF!,1))*VLOOKUP(G36,#REF!,4)+VLOOKUP(G36,#REF!,3)</f>
        <v>#REF!</v>
      </c>
      <c r="I36" s="2" t="e">
        <f>+VLOOKUP(G36,#REF!,3)</f>
        <v>#REF!</v>
      </c>
      <c r="J36" s="2" t="e">
        <f t="shared" si="1"/>
        <v>#REF!</v>
      </c>
      <c r="K36" s="2" t="e">
        <f t="shared" si="2"/>
        <v>#REF!</v>
      </c>
      <c r="L36" s="15" t="e">
        <f t="shared" si="3"/>
        <v>#REF!</v>
      </c>
      <c r="M36" s="15" t="e">
        <f t="shared" si="4"/>
        <v>#REF!</v>
      </c>
      <c r="N36" s="15" t="e">
        <f>+#REF!</f>
        <v>#REF!</v>
      </c>
    </row>
    <row r="37" spans="1:15" ht="12.75" customHeight="1" x14ac:dyDescent="0.25">
      <c r="A37" s="8">
        <v>34</v>
      </c>
      <c r="B37" s="9" t="s">
        <v>40</v>
      </c>
      <c r="C37" s="9" t="s">
        <v>61</v>
      </c>
      <c r="D37" s="16">
        <v>4000</v>
      </c>
      <c r="E37" s="10">
        <v>31</v>
      </c>
      <c r="F37" s="11">
        <v>69</v>
      </c>
      <c r="G37" s="2">
        <f t="shared" si="0"/>
        <v>2139</v>
      </c>
      <c r="H37" s="15" t="e">
        <f>(G37-VLOOKUP(G37,#REF!,1))*VLOOKUP(G37,#REF!,4)+VLOOKUP(G37,#REF!,3)</f>
        <v>#REF!</v>
      </c>
      <c r="I37" s="2" t="e">
        <f>+VLOOKUP(G37,#REF!,3)</f>
        <v>#REF!</v>
      </c>
      <c r="J37" s="2" t="e">
        <f t="shared" si="1"/>
        <v>#REF!</v>
      </c>
      <c r="K37" s="2" t="e">
        <f t="shared" si="2"/>
        <v>#REF!</v>
      </c>
      <c r="L37" s="15" t="e">
        <f t="shared" si="3"/>
        <v>#REF!</v>
      </c>
      <c r="M37" s="15" t="e">
        <f t="shared" si="4"/>
        <v>#REF!</v>
      </c>
      <c r="N37" s="15" t="e">
        <f>+#REF!</f>
        <v>#REF!</v>
      </c>
    </row>
    <row r="38" spans="1:15" ht="12.75" customHeight="1" x14ac:dyDescent="0.25">
      <c r="A38" s="8">
        <v>35</v>
      </c>
      <c r="B38" s="9" t="s">
        <v>41</v>
      </c>
      <c r="C38" s="9" t="s">
        <v>61</v>
      </c>
      <c r="D38" s="16">
        <v>4000</v>
      </c>
      <c r="E38" s="10">
        <v>31</v>
      </c>
      <c r="F38" s="11">
        <v>69</v>
      </c>
      <c r="G38" s="2">
        <f t="shared" si="0"/>
        <v>2139</v>
      </c>
      <c r="H38" s="15" t="e">
        <f>(G38-VLOOKUP(G38,#REF!,1))*VLOOKUP(G38,#REF!,4)+VLOOKUP(G38,#REF!,3)</f>
        <v>#REF!</v>
      </c>
      <c r="I38" s="2" t="e">
        <f>+VLOOKUP(G38,#REF!,3)</f>
        <v>#REF!</v>
      </c>
      <c r="J38" s="2" t="e">
        <f t="shared" si="1"/>
        <v>#REF!</v>
      </c>
      <c r="K38" s="2" t="e">
        <f t="shared" si="2"/>
        <v>#REF!</v>
      </c>
      <c r="L38" s="15" t="e">
        <f t="shared" si="3"/>
        <v>#REF!</v>
      </c>
      <c r="M38" s="15" t="e">
        <f t="shared" si="4"/>
        <v>#REF!</v>
      </c>
      <c r="N38" s="15" t="e">
        <f>+#REF!</f>
        <v>#REF!</v>
      </c>
    </row>
    <row r="39" spans="1:15" ht="12.75" customHeight="1" x14ac:dyDescent="0.25">
      <c r="A39" s="8">
        <v>36</v>
      </c>
      <c r="B39" s="9" t="s">
        <v>42</v>
      </c>
      <c r="C39" s="9" t="s">
        <v>62</v>
      </c>
      <c r="D39" s="16">
        <v>6000</v>
      </c>
      <c r="E39" s="10">
        <v>31</v>
      </c>
      <c r="F39" s="11">
        <v>73</v>
      </c>
      <c r="G39" s="2">
        <f t="shared" si="0"/>
        <v>2263</v>
      </c>
      <c r="H39" s="15" t="e">
        <f>(G39-VLOOKUP(G39,#REF!,1))*VLOOKUP(G39,#REF!,4)+VLOOKUP(G39,#REF!,3)</f>
        <v>#REF!</v>
      </c>
      <c r="I39" s="2" t="e">
        <f>+VLOOKUP(G39,#REF!,3)</f>
        <v>#REF!</v>
      </c>
      <c r="J39" s="2" t="e">
        <f t="shared" si="1"/>
        <v>#REF!</v>
      </c>
      <c r="K39" s="2" t="e">
        <f t="shared" si="2"/>
        <v>#REF!</v>
      </c>
      <c r="L39" s="15" t="e">
        <f t="shared" si="3"/>
        <v>#REF!</v>
      </c>
      <c r="M39" s="15" t="e">
        <f t="shared" si="4"/>
        <v>#REF!</v>
      </c>
      <c r="N39" s="15" t="e">
        <f>+#REF!</f>
        <v>#REF!</v>
      </c>
    </row>
    <row r="40" spans="1:15" ht="12.75" customHeight="1" x14ac:dyDescent="0.25">
      <c r="A40" s="8">
        <v>37</v>
      </c>
      <c r="B40" s="9" t="s">
        <v>43</v>
      </c>
      <c r="C40" s="9" t="s">
        <v>63</v>
      </c>
      <c r="D40" s="16">
        <v>6000</v>
      </c>
      <c r="E40" s="10">
        <v>31</v>
      </c>
      <c r="F40" s="11">
        <v>80.8</v>
      </c>
      <c r="G40" s="2">
        <f t="shared" si="0"/>
        <v>2504.7999999999997</v>
      </c>
      <c r="H40" s="15" t="e">
        <f>(G40-VLOOKUP(G40,#REF!,1))*VLOOKUP(G40,#REF!,4)+VLOOKUP(G40,#REF!,3)</f>
        <v>#REF!</v>
      </c>
      <c r="I40" s="2" t="e">
        <f>+VLOOKUP(G40,#REF!,3)</f>
        <v>#REF!</v>
      </c>
      <c r="J40" s="2" t="e">
        <f t="shared" si="1"/>
        <v>#REF!</v>
      </c>
      <c r="K40" s="2" t="e">
        <f t="shared" si="2"/>
        <v>#REF!</v>
      </c>
      <c r="L40" s="15" t="e">
        <f t="shared" si="3"/>
        <v>#REF!</v>
      </c>
      <c r="M40" s="15" t="e">
        <f t="shared" si="4"/>
        <v>#REF!</v>
      </c>
      <c r="N40" s="15" t="e">
        <f>+#REF!</f>
        <v>#REF!</v>
      </c>
    </row>
    <row r="41" spans="1:15" ht="12.75" customHeight="1" x14ac:dyDescent="0.25">
      <c r="A41" s="8">
        <v>38</v>
      </c>
      <c r="B41" s="9" t="s">
        <v>44</v>
      </c>
      <c r="C41" s="9" t="s">
        <v>64</v>
      </c>
      <c r="D41" s="16">
        <v>10000</v>
      </c>
      <c r="E41" s="10">
        <v>31</v>
      </c>
      <c r="F41" s="11">
        <v>80.8</v>
      </c>
      <c r="G41" s="2">
        <f t="shared" si="0"/>
        <v>2504.7999999999997</v>
      </c>
      <c r="H41" s="15" t="e">
        <f>(G41-VLOOKUP(G41,#REF!,1))*VLOOKUP(G41,#REF!,4)+VLOOKUP(G41,#REF!,3)</f>
        <v>#REF!</v>
      </c>
      <c r="I41" s="2" t="e">
        <f>+VLOOKUP(G41,#REF!,3)</f>
        <v>#REF!</v>
      </c>
      <c r="J41" s="2" t="e">
        <f t="shared" si="1"/>
        <v>#REF!</v>
      </c>
      <c r="K41" s="2" t="e">
        <f t="shared" si="2"/>
        <v>#REF!</v>
      </c>
      <c r="L41" s="15" t="e">
        <f t="shared" si="3"/>
        <v>#REF!</v>
      </c>
      <c r="M41" s="15" t="e">
        <f t="shared" si="4"/>
        <v>#REF!</v>
      </c>
      <c r="N41" s="15" t="e">
        <f>+#REF!</f>
        <v>#REF!</v>
      </c>
    </row>
    <row r="43" spans="1:15" s="12" customFormat="1" ht="12.75" customHeight="1" x14ac:dyDescent="0.25">
      <c r="B43" s="13" t="s">
        <v>6</v>
      </c>
      <c r="D43" s="14">
        <f>+SUM(D4:D41)</f>
        <v>239600</v>
      </c>
      <c r="E43" s="10">
        <f>+SUM(E4:E41)</f>
        <v>1178</v>
      </c>
      <c r="G43" s="14">
        <f>+SUM(G4:G41)</f>
        <v>104997.00000000006</v>
      </c>
      <c r="J43" s="14" t="e">
        <f>+SUM(J4:J41)</f>
        <v>#REF!</v>
      </c>
      <c r="K43" s="14" t="e">
        <f>+SUM(K4:K41)</f>
        <v>#REF!</v>
      </c>
      <c r="L43" s="14" t="e">
        <f>+SUM(L4:L41)</f>
        <v>#REF!</v>
      </c>
      <c r="M43" s="14" t="e">
        <f>+SUM(M4:M41)</f>
        <v>#REF!</v>
      </c>
      <c r="N43" s="14" t="e">
        <f>SUM(N4:N41)</f>
        <v>#REF!</v>
      </c>
    </row>
    <row r="45" spans="1:15" ht="12.75" customHeight="1" x14ac:dyDescent="0.3">
      <c r="E45" s="3"/>
      <c r="L45" s="17" t="e">
        <f>+L43+M43</f>
        <v>#REF!</v>
      </c>
    </row>
    <row r="48" spans="1:15" ht="12.75" customHeight="1" thickBot="1" x14ac:dyDescent="0.3">
      <c r="G48" s="18" t="s">
        <v>74</v>
      </c>
      <c r="H48" s="18"/>
      <c r="I48" s="19"/>
      <c r="J48" s="19"/>
      <c r="K48" s="20"/>
      <c r="L48" s="20"/>
      <c r="M48" s="20"/>
      <c r="N48" s="20"/>
      <c r="O48" s="20"/>
    </row>
    <row r="49" spans="7:15" ht="12.75" customHeight="1" thickBot="1" x14ac:dyDescent="0.3">
      <c r="H49" s="21"/>
      <c r="I49" s="22" t="s">
        <v>75</v>
      </c>
      <c r="J49" s="4"/>
      <c r="K49" s="4" t="s">
        <v>72</v>
      </c>
      <c r="L49" s="4" t="s">
        <v>76</v>
      </c>
      <c r="M49" s="4"/>
      <c r="N49" s="4" t="s">
        <v>74</v>
      </c>
      <c r="O49" s="20"/>
    </row>
    <row r="50" spans="7:15" ht="12.75" customHeight="1" x14ac:dyDescent="0.25">
      <c r="H50" s="21"/>
      <c r="I50" s="23"/>
      <c r="J50" s="21" t="s">
        <v>77</v>
      </c>
      <c r="K50" s="23" t="e">
        <f>+L43</f>
        <v>#REF!</v>
      </c>
      <c r="L50" s="23" t="e">
        <f>+M43</f>
        <v>#REF!</v>
      </c>
      <c r="M50" s="23"/>
      <c r="N50" s="23" t="e">
        <f>+K50+L50</f>
        <v>#REF!</v>
      </c>
      <c r="O50" s="24"/>
    </row>
    <row r="51" spans="7:15" ht="12.75" customHeight="1" x14ac:dyDescent="0.25">
      <c r="H51" s="21"/>
      <c r="I51" s="25">
        <f>I50*6%</f>
        <v>0</v>
      </c>
      <c r="J51" s="21" t="s">
        <v>81</v>
      </c>
      <c r="K51" s="23" t="e">
        <f>K50*6.5%</f>
        <v>#REF!</v>
      </c>
      <c r="L51" s="23" t="e">
        <f>L50*6.5%</f>
        <v>#REF!</v>
      </c>
      <c r="M51" s="25"/>
      <c r="N51" s="23" t="e">
        <f>+K51+L51</f>
        <v>#REF!</v>
      </c>
      <c r="O51" s="26"/>
    </row>
    <row r="52" spans="7:15" ht="12.75" customHeight="1" x14ac:dyDescent="0.25">
      <c r="H52" s="21"/>
      <c r="I52" s="23"/>
      <c r="J52" s="21" t="s">
        <v>78</v>
      </c>
      <c r="K52" s="23" t="e">
        <f>+N43</f>
        <v>#REF!</v>
      </c>
      <c r="L52" s="23"/>
      <c r="M52" s="23"/>
      <c r="N52" s="23" t="e">
        <f>+K52</f>
        <v>#REF!</v>
      </c>
      <c r="O52" s="26"/>
    </row>
    <row r="53" spans="7:15" ht="12.75" customHeight="1" x14ac:dyDescent="0.25">
      <c r="H53" s="21"/>
      <c r="I53" s="23"/>
      <c r="J53" s="21" t="s">
        <v>79</v>
      </c>
      <c r="K53" s="23"/>
      <c r="L53" s="23"/>
      <c r="M53" s="23"/>
      <c r="N53" s="23" t="e">
        <f>+N50+N51+N52</f>
        <v>#REF!</v>
      </c>
      <c r="O53" s="27"/>
    </row>
    <row r="54" spans="7:15" ht="12.75" customHeight="1" x14ac:dyDescent="0.3">
      <c r="H54" s="28"/>
      <c r="I54" s="25"/>
      <c r="J54" s="28" t="s">
        <v>82</v>
      </c>
      <c r="K54" s="25"/>
      <c r="L54" s="25"/>
      <c r="M54" s="25"/>
      <c r="N54" s="25" t="e">
        <f>N53*0.16</f>
        <v>#REF!</v>
      </c>
      <c r="O54" s="29"/>
    </row>
    <row r="55" spans="7:15" ht="12.75" customHeight="1" x14ac:dyDescent="0.3">
      <c r="H55" s="30"/>
      <c r="I55" s="31">
        <f>I53+I54</f>
        <v>0</v>
      </c>
      <c r="J55" s="30" t="s">
        <v>80</v>
      </c>
      <c r="K55" s="31">
        <f>K53+K54</f>
        <v>0</v>
      </c>
      <c r="L55" s="31" t="e">
        <f>+L50+L51</f>
        <v>#REF!</v>
      </c>
      <c r="M55" s="31"/>
      <c r="N55" s="31" t="e">
        <f>N53+N54</f>
        <v>#REF!</v>
      </c>
      <c r="O55" s="32"/>
    </row>
    <row r="56" spans="7:15" ht="12.75" customHeight="1" x14ac:dyDescent="0.3">
      <c r="G56" s="19"/>
      <c r="H56" s="19"/>
      <c r="I56" s="33"/>
      <c r="J56" s="33"/>
      <c r="K56" s="27"/>
      <c r="L56" s="26"/>
      <c r="M56" s="26"/>
      <c r="N56" s="34"/>
      <c r="O56" s="34"/>
    </row>
  </sheetData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honeticPr fontId="31" type="noConversion"/>
  <pageMargins left="0.7" right="0.7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EXCEDENTES</vt:lpstr>
      <vt:lpstr>Hoja1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Candiani</dc:creator>
  <cp:lastModifiedBy>MC</cp:lastModifiedBy>
  <cp:lastPrinted>2014-10-07T18:04:17Z</cp:lastPrinted>
  <dcterms:created xsi:type="dcterms:W3CDTF">2010-11-25T22:34:41Z</dcterms:created>
  <dcterms:modified xsi:type="dcterms:W3CDTF">2026-03-04T22:05:48Z</dcterms:modified>
</cp:coreProperties>
</file>